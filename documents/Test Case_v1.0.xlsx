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Overview" sheetId="1" r:id="rId4"/>
    <sheet state="visible" name="Revision" sheetId="2" r:id="rId5"/>
    <sheet state="visible" name="Test Overall" sheetId="3" r:id="rId6"/>
    <sheet state="visible" name="Login" sheetId="4" r:id="rId7"/>
    <sheet state="visible" name="Register" sheetId="5" r:id="rId8"/>
    <sheet state="visible" name="AI Generator" sheetId="6" r:id="rId9"/>
    <sheet state="visible" name="Template &amp; Brand" sheetId="7" r:id="rId10"/>
    <sheet state="visible" name="SEO Optimizer" sheetId="8" r:id="rId11"/>
    <sheet state="visible" name="Collaboration" sheetId="9" r:id="rId12"/>
    <sheet state="visible" name="Approval" sheetId="10" r:id="rId13"/>
    <sheet state="visible" name="Instruction" sheetId="11" r:id="rId14"/>
  </sheets>
  <definedNames/>
  <calcPr/>
  <extLst>
    <ext uri="GoogleSheetsCustomDataVersion2">
      <go:sheetsCustomData xmlns:go="http://customooxmlschemas.google.com/" r:id="rId15" roundtripDataChecksum="CHHud78PxxItbSuayAHJYH5T2OSAw0YmCToo3TKAEBo="/>
    </ext>
  </extLst>
</workbook>
</file>

<file path=xl/sharedStrings.xml><?xml version="1.0" encoding="utf-8"?>
<sst xmlns="http://schemas.openxmlformats.org/spreadsheetml/2006/main" count="2497" uniqueCount="558">
  <si>
    <r>
      <rPr>
        <rFont val="Fira Sans Extra Condensed"/>
        <color rgb="FF000000"/>
        <sz val="18.0"/>
      </rPr>
      <t xml:space="preserve">SYSTEM TEST CASE TEMPLATE
</t>
    </r>
    <r>
      <rPr>
        <rFont val="Fira Sans Extra Condensed"/>
        <color rgb="FF000000"/>
        <sz val="12.0"/>
      </rPr>
      <t>Version 1.0</t>
    </r>
  </si>
  <si>
    <t>GENERAL INFORMATION</t>
  </si>
  <si>
    <t>Project Name</t>
  </si>
  <si>
    <t>Generative AI Content Platform</t>
  </si>
  <si>
    <t>Project Code</t>
  </si>
  <si>
    <t>GACP-2026</t>
  </si>
  <si>
    <t>Start Date</t>
  </si>
  <si>
    <t>26/01/2026</t>
  </si>
  <si>
    <t>End Date</t>
  </si>
  <si>
    <t>13/03/2026</t>
  </si>
  <si>
    <t>KEY MEMBERS</t>
  </si>
  <si>
    <t>Project Manager</t>
  </si>
  <si>
    <t>Phan Xuan Phuong Ngan</t>
  </si>
  <si>
    <t>Business Analyst</t>
  </si>
  <si>
    <t>Tran Ngoc Phuong Nghi</t>
  </si>
  <si>
    <t>Project Technical Lead</t>
  </si>
  <si>
    <t>Doan Phan Linh Nhi</t>
  </si>
  <si>
    <t>QC Lead</t>
  </si>
  <si>
    <t>Hoang Thi Minh Ngoc</t>
  </si>
  <si>
    <t>DOCUMENT REVISION HISTORY</t>
  </si>
  <si>
    <t>No.</t>
  </si>
  <si>
    <t>Version No.</t>
  </si>
  <si>
    <t>Creation Date</t>
  </si>
  <si>
    <t>Description</t>
  </si>
  <si>
    <t>Author</t>
  </si>
  <si>
    <t>Reviewed By 
Date</t>
  </si>
  <si>
    <t>Approved By 
Date</t>
  </si>
  <si>
    <t>Remarks</t>
  </si>
  <si>
    <t>23/02/2026</t>
  </si>
  <si>
    <t>Initial creation of Test Case document</t>
  </si>
  <si>
    <t>24/02/2026</t>
  </si>
  <si>
    <t>Initial</t>
  </si>
  <si>
    <t>25/02/2026</t>
  </si>
  <si>
    <t>Added test cases for AI content generation feature</t>
  </si>
  <si>
    <t>26/02/2026</t>
  </si>
  <si>
    <t>Added</t>
  </si>
  <si>
    <t>Added test cases for Template &amp; Brand feature</t>
  </si>
  <si>
    <t>Added test cases for SEO Optimizer feature</t>
  </si>
  <si>
    <t>Added test cases for Collaboration &amp; Approval feature</t>
  </si>
  <si>
    <t>CHECKLIST TEMPLATE REVISION HISTORY</t>
  </si>
  <si>
    <t>Initial checklist template</t>
  </si>
  <si>
    <t>SYSTEM TEST CASE OVERALL</t>
  </si>
  <si>
    <t>Sheet name</t>
  </si>
  <si>
    <t>Latest Date of Test</t>
  </si>
  <si>
    <t>Total Test case</t>
  </si>
  <si>
    <t>Round 1</t>
  </si>
  <si>
    <t>Round 2</t>
  </si>
  <si>
    <t>Round 3</t>
  </si>
  <si>
    <t>Chrome</t>
  </si>
  <si>
    <t>Edge</t>
  </si>
  <si>
    <t>Passed</t>
  </si>
  <si>
    <t>Failed</t>
  </si>
  <si>
    <t>Login</t>
  </si>
  <si>
    <t>03/03/2026</t>
  </si>
  <si>
    <t>Register</t>
  </si>
  <si>
    <t>AI Generator</t>
  </si>
  <si>
    <t>Template &amp; Brand</t>
  </si>
  <si>
    <t>Seo Optimizer</t>
  </si>
  <si>
    <t>Collaboration</t>
  </si>
  <si>
    <t>Approval</t>
  </si>
  <si>
    <t>Total</t>
  </si>
  <si>
    <t xml:space="preserve">SYSTEM TEST CASE </t>
  </si>
  <si>
    <t>SUM</t>
  </si>
  <si>
    <t>Modified Date</t>
  </si>
  <si>
    <t>SRS/ User Stories ID</t>
  </si>
  <si>
    <t>Test case ID Range</t>
  </si>
  <si>
    <t>User Story 01</t>
  </si>
  <si>
    <t>ID-001~ID-0006</t>
  </si>
  <si>
    <t>PASSED</t>
  </si>
  <si>
    <t>FAILED</t>
  </si>
  <si>
    <t>BLOCKED</t>
  </si>
  <si>
    <t>NOT RUN</t>
  </si>
  <si>
    <t>Number of Test case</t>
  </si>
  <si>
    <t xml:space="preserve">Main Category </t>
  </si>
  <si>
    <t>Sub Category</t>
  </si>
  <si>
    <t>Pre-conditions</t>
  </si>
  <si>
    <t>Test Description</t>
  </si>
  <si>
    <t>Steps to Perform (include Data test)</t>
  </si>
  <si>
    <t>Expected Results</t>
  </si>
  <si>
    <t>Testing result</t>
  </si>
  <si>
    <t>Result Recorded Date</t>
  </si>
  <si>
    <t>Who checked</t>
  </si>
  <si>
    <t>Bug ID</t>
  </si>
  <si>
    <t>Authentication</t>
  </si>
  <si>
    <t>- Open [Login] screen</t>
  </si>
  <si>
    <t>Verify user can login with valid account</t>
  </si>
  <si>
    <t>1. At Login screen
- Enter valid Email
- Enter valid Password
2. Click ""Login"" button</t>
  </si>
  <si>
    <t>At step 2:
- User login successfully
- System navigates to [Home] screen</t>
  </si>
  <si>
    <t>N/A</t>
  </si>
  <si>
    <t>27/02/2026</t>
  </si>
  <si>
    <t>Phuong Ngan</t>
  </si>
  <si>
    <t>01/03/2026</t>
  </si>
  <si>
    <t>Working as expected</t>
  </si>
  <si>
    <t>Verify login fails when user enters incorrect password</t>
  </si>
  <si>
    <t>1. At Login screen
- Enter valid Email
- Enter incorrect Password
2. Click ""Login"" button</t>
  </si>
  <si>
    <t>At step 2:
- Login failed
- Error message ""Invalid email or password. Please try again!"" will display</t>
  </si>
  <si>
    <t>Verify system shows validation when email field is empty</t>
  </si>
  <si>
    <t>1. At Login screen
- Leave Email field empty
- Enter Password
2. Click ""Login"" button</t>
  </si>
  <si>
    <t>At step 2:
- System shows validation message ""Please fill in all required fields.""</t>
  </si>
  <si>
    <t>Verify system shows validation when password field is empty</t>
  </si>
  <si>
    <t>1. At Login screen
- Enter Email
- Leave Password empty
2. Click ""Login"" button</t>
  </si>
  <si>
    <t>Navigation</t>
  </si>
  <si>
    <t>Forgot Password Link</t>
  </si>
  <si>
    <t>Verify user can navigate to [Forgot Password] screen</t>
  </si>
  <si>
    <t>1. At Login screen
- Click ""Forgot password"" link
2. Check Forgot Password screen</t>
  </si>
  <si>
    <t>At step 2:
- System navigates to [Forgot Password] screen successfully</t>
  </si>
  <si>
    <t>Register Link</t>
  </si>
  <si>
    <t>Verify user can navigate to [Register] screen</t>
  </si>
  <si>
    <t>1. At Login screen
- Click ""Sign up"" link
2. Check Register screen</t>
  </si>
  <si>
    <t>At step 2:
- System navigates to [Register] screen successfully</t>
  </si>
  <si>
    <t>User Story 02</t>
  </si>
  <si>
    <t>- Open [Register] screen</t>
  </si>
  <si>
    <t>Verify user can register with valid information</t>
  </si>
  <si>
    <t>1. At Register screen
- Enter valid information
2. Click ""Register"" button</t>
  </si>
  <si>
    <t>At step 2:
- Account created successfully</t>
  </si>
  <si>
    <t>Verify system shows error when email already exists</t>
  </si>
  <si>
    <t>1. At Register screen
- Enter existing Email and other information
2. Click ""Register"" button</t>
  </si>
  <si>
    <t>At step 2:
- System displays message ""Email already exists""</t>
  </si>
  <si>
    <t>Bug-RGT-01</t>
  </si>
  <si>
    <t>Verify system shows error when password is less than 6 characters</t>
  </si>
  <si>
    <t>1. At Register screen
- Enter other valid information
- Enter Password less than 6 characters (ex: 12345)
2. Click ""Register"" button</t>
  </si>
  <si>
    <t>At step 2:
- System displays validation message ""Password must be at least 6 characters!""</t>
  </si>
  <si>
    <t>Bug-RGT-02</t>
  </si>
  <si>
    <t>Verify password confirmation mismatch</t>
  </si>
  <si>
    <t>1. At Register screen
- Enter other valid information
- Enter Password
- Enter different Confirm Password
2. Click ""Register"" button</t>
  </si>
  <si>
    <t>At step 2:
- System displays message ""Passwords do not match. Please try again!""</t>
  </si>
  <si>
    <t>Bug-RGT-03</t>
  </si>
  <si>
    <t>Bug-RGT-04</t>
  </si>
  <si>
    <t>Verify system shows error when required fields are empty</t>
  </si>
  <si>
    <t>1. At Register screen
- Leave one of required fields empty (Name / Email Address / Password / Confirm Password)
2. Click ""Register"" button</t>
  </si>
  <si>
    <t>At step 2:
- System displays message ""Please fill in all required fields.""</t>
  </si>
  <si>
    <t>Already have an account</t>
  </si>
  <si>
    <t>Verify user can navigate to Login screen via ""Already have an account? Login Now!"" link</t>
  </si>
  <si>
    <t>1. At Register screen
- Click ""Login Now!"" link
2. Check Login screen</t>
  </si>
  <si>
    <t>At step 2:
- System navigates to [Login] screen successfully</t>
  </si>
  <si>
    <t>User Story 03</t>
  </si>
  <si>
    <t>ID-001~ID-0013</t>
  </si>
  <si>
    <t>UI/UX</t>
  </si>
  <si>
    <t>Content Library View</t>
  </si>
  <si>
    <t>- User already login successfully</t>
  </si>
  <si>
    <t>Verify user can view generated contents in [AI Content Library] screen</t>
  </si>
  <si>
    <t>1. At Home screen
- Click ""AI Generator"" menu
2. Check the list of generated contents</t>
  </si>
  <si>
    <t>At step 2:
- System displays list of generated contents successfully</t>
  </si>
  <si>
    <t>Functionality</t>
  </si>
  <si>
    <t>Content Detail</t>
  </si>
  <si>
    <t>- User already open [AI Content Library] screen</t>
  </si>
  <si>
    <t>Verify user can open a content item from library to see full content</t>
  </si>
  <si>
    <t>1. At AI Content Library screen
- Click a content item from the list
2. Check content detail screen</t>
  </si>
  <si>
    <t>At step 2:
- System opens content detail successfully
- Generated content is fully displayed</t>
  </si>
  <si>
    <t>Bug-AI-01</t>
  </si>
  <si>
    <t>Edit Content</t>
  </si>
  <si>
    <t>Verify user can edit content from AI Content Library</t>
  </si>
  <si>
    <t>1. At AI Content Library screen
- Select a content item
2. Click ""Edit"" button</t>
  </si>
  <si>
    <t>At step 2:
- The content item is returned to the [AI Content Generator] screen for editing</t>
  </si>
  <si>
    <t>Bug-AI-02</t>
  </si>
  <si>
    <t>Delete Content</t>
  </si>
  <si>
    <t>Verify user can delete a content item from library</t>
  </si>
  <si>
    <t>1. At AI Content Library screen
- Select a content item
2. Click ""Delete"" button</t>
  </si>
  <si>
    <t>At step 2:
- Content item is removed from AI Content Library successfully</t>
  </si>
  <si>
    <t>Search Content</t>
  </si>
  <si>
    <t>Verify user can search content in library</t>
  </si>
  <si>
    <t>1. At Content Library screen
- Enter keyword in search bar</t>
  </si>
  <si>
    <t>At step 1:
- System displays contents matching the keyword</t>
  </si>
  <si>
    <t>Bug-AI-03</t>
  </si>
  <si>
    <t>Content Filter</t>
  </si>
  <si>
    <t>Verify user can switch the filter between Blog, Post, and Email</t>
  </si>
  <si>
    <t>1. At AI Content Library screen
- Select filter ""Blog""
- Change filter ""Post""
- Change filter ""Email""</t>
  </si>
  <si>
    <t>At step 1:
- System generates content according to selected filter</t>
  </si>
  <si>
    <t>Bug-AI-04</t>
  </si>
  <si>
    <t>Create Content Navigation</t>
  </si>
  <si>
    <t>Verify user can navigate to AI Content Generator screen via ""Create Content"" button</t>
  </si>
  <si>
    <t>1. At Content Library screen
- Click ""Create Content"" button
2. Check AI Content Generator screen</t>
  </si>
  <si>
    <t>At step 2:
- System navigates to [AI Content Generator] screen successfully</t>
  </si>
  <si>
    <t>Content Type Selection</t>
  </si>
  <si>
    <t>- User already open [AI Content Generator] screen</t>
  </si>
  <si>
    <t>Verify user can switch content type between Blog, Post, and Email</t>
  </si>
  <si>
    <t>1. At AI Content Generator screen
- Select content type ""Blog""
- Change content type to ""Post""
- Change content type to ""Email""</t>
  </si>
  <si>
    <t>At step 1:
- System generates content according to selected content type</t>
  </si>
  <si>
    <t>Bug-AI-05</t>
  </si>
  <si>
    <t>AI Content Generation</t>
  </si>
  <si>
    <t>Verify AI can generate content from prompt</t>
  </si>
  <si>
    <t>1. At AI Content Generator screen
- Select Content Type
- Select Platform
- Select Tone of Voice
- Enter prompt into Topic or Prompt card
2. Click ""Generate AI Content"" button</t>
  </si>
  <si>
    <t>At step 2:
- AI content is generated successfully and displays into the right card</t>
  </si>
  <si>
    <t>Bug-AI-06</t>
  </si>
  <si>
    <t>Prompt Validation</t>
  </si>
  <si>
    <t>Verify system validates empty prompt</t>
  </si>
  <si>
    <t>1. At AI Content Generator screen
- Leave Prompt empty
2. Click ""Generate AI Content"" button</t>
  </si>
  <si>
    <t>At step 2:
- System displays validation alert message for prompt</t>
  </si>
  <si>
    <t>Copy Generated Content</t>
  </si>
  <si>
    <t>Verify user can copy generated content</t>
  </si>
  <si>
    <t>1. At AI Content Generator screen
- Select information and enter prompt
- Click ""Generate AI Content"" button
2. Click ""Copy"" button</t>
  </si>
  <si>
    <t>At step 2:
- Generated content is copied successfully</t>
  </si>
  <si>
    <t>Regenerate Content</t>
  </si>
  <si>
    <t>Verify user can regenerate content</t>
  </si>
  <si>
    <t>1. At AI Content Generator screen
- Select information and enter prompt
- Click ""Generate AI Content"" button
2. Click ""Regenerate"" button</t>
  </si>
  <si>
    <t>At step 2:
- System generates a new version of content</t>
  </si>
  <si>
    <t>Save Content to Library</t>
  </si>
  <si>
    <t>Verify generated content can be saved</t>
  </si>
  <si>
    <t>1. At AI Content Generator screen
- Select information and enter prompt
- Click ""Generate AI Content"" button
2. Click ""Save to Library"" button</t>
  </si>
  <si>
    <t>At step 2:
- Generated content is saved to AI Content Library successfully</t>
  </si>
  <si>
    <t>Bug-AI-07</t>
  </si>
  <si>
    <t>Safari</t>
  </si>
  <si>
    <t>User Story 04</t>
  </si>
  <si>
    <t>ID-001~ID-0016</t>
  </si>
  <si>
    <t>Templates Screen</t>
  </si>
  <si>
    <t>User logged in</t>
  </si>
  <si>
    <t>Verify the UI of Templates screen is correct with design</t>
  </si>
  <si>
    <t>1. Open [Templates &amp; Brand] screen 
2. Check the UI of Templates screen</t>
  </si>
  <si>
    <t>At step 2: 
- UI of "Templates" screen is correct with design</t>
  </si>
  <si>
    <t>Minh Ngoc</t>
  </si>
  <si>
    <t>01/3/2026</t>
  </si>
  <si>
    <t>03/3/2026</t>
  </si>
  <si>
    <t>Switch Tab</t>
  </si>
  <si>
    <t>At "Templates" tab</t>
  </si>
  <si>
    <t>Verify user can switch to Brand Guide tab</t>
  </si>
  <si>
    <t xml:space="preserve">1. Open [Templates &amp; Brand] screen 
2. Click on "Brand Guide" tab </t>
  </si>
  <si>
    <t>At step 2: 
- Templates" section is hidden. "Brand Guide" section is displayed.</t>
  </si>
  <si>
    <t>BUG-TB-01</t>
  </si>
  <si>
    <t>Filter Templates</t>
  </si>
  <si>
    <t>Verify user can filter templates by category</t>
  </si>
  <si>
    <t>1. Open [Templates &amp; Brand] screen 
2. Click Blog, Post, or Email filter</t>
  </si>
  <si>
    <t>At step 2:
- Templates displayed correspond to the selected category</t>
  </si>
  <si>
    <t>BUG-TB-02</t>
  </si>
  <si>
    <t>Use Button Display</t>
  </si>
  <si>
    <t>User on Template page</t>
  </si>
  <si>
    <t xml:space="preserve">Verify  "Use" button appears when hovering over a template </t>
  </si>
  <si>
    <t xml:space="preserve">1. Open [Templates &amp; Brand] screen 
2. Hover the mouse over any template </t>
  </si>
  <si>
    <t>At step 2:
- "Use" button appears</t>
  </si>
  <si>
    <t>Open Template popup</t>
  </si>
  <si>
    <t>Verify popup opens when clicking Use</t>
  </si>
  <si>
    <t>1. Open [Templates &amp; Brand] screen 
2. Hover template 
3. Click Use</t>
  </si>
  <si>
    <t>At step 3:
- Template popup is displayed</t>
  </si>
  <si>
    <t>BUG-TB-03</t>
  </si>
  <si>
    <t>Input Content</t>
  </si>
  <si>
    <t>Popup opened</t>
  </si>
  <si>
    <t>Verify user can enter content in the template fields</t>
  </si>
  <si>
    <t>1. Open [Templates &amp; Brand] screen 
2. Hover template 
3. Click Use
4. Enter content into fields</t>
  </si>
  <si>
    <t>At step 4:
- Content is displayed</t>
  </si>
  <si>
    <t>Copy content</t>
  </si>
  <si>
    <t>Popup opened with content</t>
  </si>
  <si>
    <t>1. Open [Templates &amp; Brand] screen 
2. Hover template 
3. Click Use
4. Enter content 
5. Click Copy</t>
  </si>
  <si>
    <t>At step 5:
- Content is copied to clipboard
- Display message "Content copied to clipboard!"</t>
  </si>
  <si>
    <t>Download content</t>
  </si>
  <si>
    <t>Verify user can download generated content</t>
  </si>
  <si>
    <t>1. Open [Templates &amp; Brand] screen 
2. Hover template 
3. Click Use
4. Enter content 
5. Click Download</t>
  </si>
  <si>
    <t>At step 5:
- File downloads successfully
- Display message "Successfully exported."</t>
  </si>
  <si>
    <t>Popup</t>
  </si>
  <si>
    <t>Delete content</t>
  </si>
  <si>
    <t>Verify user can delete content</t>
  </si>
  <si>
    <t>1. Open [Templates &amp; Brand] screen 
2. Hover template 
3. Click Use
4. Enter content 
5. Click Delete</t>
  </si>
  <si>
    <t>At step 5:
- Content is removed from fields
- Display message "All content has been deleted."</t>
  </si>
  <si>
    <t>Close popup</t>
  </si>
  <si>
    <t>Template popup opened</t>
  </si>
  <si>
    <t>Verify popup closes when clicking X</t>
  </si>
  <si>
    <t>1. Open [Templates &amp; Brand] screen 
2. Hover template 
3. Click Use
4. Click X icon</t>
  </si>
  <si>
    <t>At step 4:
- Popup closes and user returns to Template page</t>
  </si>
  <si>
    <t>Open Brand Guide</t>
  </si>
  <si>
    <t>User logged in and on Template &amp; Brand page</t>
  </si>
  <si>
    <t>Verify user can open Brand Guide tab</t>
  </si>
  <si>
    <t>1. Open [Templates &amp; Brand] screen 
2. Click Brand Guide tab</t>
  </si>
  <si>
    <t>At step 2:
- Brand Guide screen is displayed</t>
  </si>
  <si>
    <t>Edit Brand Name</t>
  </si>
  <si>
    <t>Brand Guide screen opened</t>
  </si>
  <si>
    <t>Verify user can edit brand name</t>
  </si>
  <si>
    <t>1. Open [Templates &amp; Brand] screen 
2. Click Brand Guide tab 
3. Enter new brand name</t>
  </si>
  <si>
    <t>At step 3:
- Brand name is updated in the field</t>
  </si>
  <si>
    <t>Edit Slogan</t>
  </si>
  <si>
    <t>Verify user can edit slogan</t>
  </si>
  <si>
    <t>1. Open [Templates &amp; Brand] screen 
2. Click Brand Guide tab 
3. Enter slogan text</t>
  </si>
  <si>
    <t>At step 3:
- Slogan is displayed in the field</t>
  </si>
  <si>
    <t>Select Tone of Voice</t>
  </si>
  <si>
    <t>Verify user can select tone of voice</t>
  </si>
  <si>
    <t>1. Open [Templates &amp; Brand] screen 
2. Click Brand Guide tab 
3. Click one tone option (Friendly / Bold / Professional...)</t>
  </si>
  <si>
    <t>At step 3:
- Selected tone is highlighted</t>
  </si>
  <si>
    <t>Typography Display</t>
  </si>
  <si>
    <t>Verify typography settings are displayed</t>
  </si>
  <si>
    <t>1. Open [Templates &amp; Brand] screen 
2. Click Brand Guide tab 
3. View typography section</t>
  </si>
  <si>
    <t>At step 3:
- Typography information is displayed correctly</t>
  </si>
  <si>
    <t>Save Changes</t>
  </si>
  <si>
    <t>User edited brand information</t>
  </si>
  <si>
    <t>Verify user can save brand guide changes</t>
  </si>
  <si>
    <t>1. Open [Templates &amp; Brand] screen 
2. Edit brand information 
3. Click Save changes</t>
  </si>
  <si>
    <t>At step 3:
- Changes are saved successfully</t>
  </si>
  <si>
    <t>Platform 1</t>
  </si>
  <si>
    <t>Platform 2</t>
  </si>
  <si>
    <t>User Story 05</t>
  </si>
  <si>
    <t>ID-001~ID-0028</t>
  </si>
  <si>
    <t>Layout and Display</t>
  </si>
  <si>
    <t>User logged in, navigates to SEO Optimizer</t>
  </si>
  <si>
    <t>Verify all UI elements are displayed correctly</t>
  </si>
  <si>
    <t>1. Navigate to SEO Optimizer from sidebar.
2. Observe: Header, Article Name field, Content Editor, Back button, Analyze Content button.</t>
  </si>
  <si>
    <t>All elements are visible and properly aligned as per design.</t>
  </si>
  <si>
    <t>Phuong Nghi</t>
  </si>
  <si>
    <t>3/03/2026</t>
  </si>
  <si>
    <t xml:space="preserve">
Article Name Input</t>
  </si>
  <si>
    <t>User is on Content Analysis screen</t>
  </si>
  <si>
    <t>Verify Article Name field accepts text input</t>
  </si>
  <si>
    <t>1. Click Article Name input.
2. Type: 'Best Travel Destinations in Vietnam 2025'
3. Verify text displays correctly.</t>
  </si>
  <si>
    <t>Text is accepted and displayed correctly in the field.</t>
  </si>
  <si>
    <t>BUG-SEO-01</t>
  </si>
  <si>
    <t>Content Editor</t>
  </si>
  <si>
    <t>Verify Content Editor accepts pasted/typed content</t>
  </si>
  <si>
    <t>1. Click on Content Editor.
2. Paste a draft article (&gt;20 words).
3. Verify content fully displayed.</t>
  </si>
  <si>
    <t>All content is displayed correctly without truncation.</t>
  </si>
  <si>
    <t>BUG-SEO-02</t>
  </si>
  <si>
    <t>Analyze Content Button</t>
  </si>
  <si>
    <t>Article Name and Content Editor are filled</t>
  </si>
  <si>
    <t>Verify Analyze Content button navigates to SEO Settings screen</t>
  </si>
  <si>
    <t>1. Enter valid title and content.
2. Click 'Analyze Content'.</t>
  </si>
  <si>
    <t>System navigates to SEO Settings screen (SEO Optimization Settings).</t>
  </si>
  <si>
    <t>Back Button</t>
  </si>
  <si>
    <t>Verify Back button returns to previous screen</t>
  </si>
  <si>
    <t>1. Click 'Back' button in footer.</t>
  </si>
  <si>
    <t>User is navigated back to the previous screen.</t>
  </si>
  <si>
    <t>Layout &amp; Display</t>
  </si>
  <si>
    <t>User arrives from Content Analysis screen</t>
  </si>
  <si>
    <t>Verify all elements on SEO Optimization Settings screen are displayed</t>
  </si>
  <si>
    <t>1. Complete Content Analysis screen and click Analyze Content.
2. Check: Article Name, Summary Badges, Content Structure Panel, Primary Keyword, Additional Keywords, Content Type, Target Word Count, Back/Analyze buttons.</t>
  </si>
  <si>
    <t>All elements visible. Article Name carries over from Content Analysis screen. Badges show word count and heading count.</t>
  </si>
  <si>
    <t>Content Summary Badges</t>
  </si>
  <si>
    <t>User is on SEO Settings screen with content loaded</t>
  </si>
  <si>
    <t>Verify badges display accurate word count and heading count</t>
  </si>
  <si>
    <t>1. Check word count badge vs actual word count.
2. Check heading count badge vs actual headings (H1/H2/H3).</t>
  </si>
  <si>
    <t>Word count and heading count badges match the submitted content.</t>
  </si>
  <si>
    <t>Primary Keyword</t>
  </si>
  <si>
    <t>User is on SEO Settings screen</t>
  </si>
  <si>
    <t>Verify Primary Keyword field accepts input</t>
  </si>
  <si>
    <t>1. Click Primary Keyword field.
2. Type 'destination'.
3. Verify text saved and displayed.</t>
  </si>
  <si>
    <t>Primary keyword is accepted and displayed correctly.</t>
  </si>
  <si>
    <t>Add Keyword Field</t>
  </si>
  <si>
    <t>Verify user can add custom keywords</t>
  </si>
  <si>
    <t>1. Click Add Keyword input.
2. Type 'on-page optimization'.
3. Press Enter or click Add.
4. Verify keyword appears in list.</t>
  </si>
  <si>
    <t>New keyword is added and displayed in Additional Keywords list.</t>
  </si>
  <si>
    <t>BUG-SEO-03</t>
  </si>
  <si>
    <t>Content Type Dropdown</t>
  </si>
  <si>
    <t>Verify Content Type dropdown shows correct options</t>
  </si>
  <si>
    <t>1. Click Content Type dropdown.
2. Observe options (Blog, Email, Post).
3. Select 'Blog'.
4. Verify selection saved.</t>
  </si>
  <si>
    <t>Dropdown shows Blog, Email, Post. Selected value displayed correctly.</t>
  </si>
  <si>
    <t>BUG-SEO-04</t>
  </si>
  <si>
    <t>BUG-SEO-06</t>
  </si>
  <si>
    <t>Required settings configured on SEO Settings screen</t>
  </si>
  <si>
    <t>Verify Analyze Content button proceeds to SEO Research screen</t>
  </si>
  <si>
    <t>1. Fill Primary Keyword and select Content Type.
2. Click 'Analyze Content'.</t>
  </si>
  <si>
    <t>System navigates to SEO Research screen</t>
  </si>
  <si>
    <t>Verify Back button returns to Content Analysis screen</t>
  </si>
  <si>
    <t>1. Click 'Back' button.</t>
  </si>
  <si>
    <t>User returns to Content Analysis screen. Article name and content are preserved.</t>
  </si>
  <si>
    <t>User arrives from SEO Settings screen</t>
  </si>
  <si>
    <t>Verify all UI elements on SEO Research screen are displayed</t>
  </si>
  <si>
    <t>1. Complete SEO Settings screen and click Analyze Content.
2. Check: Tabs (Research/Outline), Progress Indicator, Analyzing Intent section, Expanding Keywords section, Back/Optimize buttons.</t>
  </si>
  <si>
    <t>All elements visible. 'Research' tab is active.</t>
  </si>
  <si>
    <t>Analyzing Intent</t>
  </si>
  <si>
    <t>Analysis is complete</t>
  </si>
  <si>
    <t>Verify search intent is classified and displayed</t>
  </si>
  <si>
    <t>1. After analysis, observe Search Intent Type.
2. Check intent label (Informational / Transactional / Navigational).</t>
  </si>
  <si>
    <t>Search intent type is classified and displayed with label and explanation.</t>
  </si>
  <si>
    <t>Expanding Keywords</t>
  </si>
  <si>
    <t>Verify Expanding Keywords shows related keywords with CPC and coverage</t>
  </si>
  <si>
    <t>1. Observe Expanding Keywords section.
2. Verify each keyword shows: keyword text, CPC value, content coverage %.</t>
  </si>
  <si>
    <t>At least 5 related keywords displayed with CPC and content coverage metrics.</t>
  </si>
  <si>
    <t>Optimize Content Button</t>
  </si>
  <si>
    <t>Research is complete</t>
  </si>
  <si>
    <t>Verify Optimize Content button navigates to Optimized Outline Screen</t>
  </si>
  <si>
    <t>1. Click 'Optimize Content' button.</t>
  </si>
  <si>
    <t xml:space="preserve">User navigated to Optimized Outline Screen </t>
  </si>
  <si>
    <t>User is on SEO Research screen</t>
  </si>
  <si>
    <t>Verify Back button returns to SEO Settings screen</t>
  </si>
  <si>
    <t>User returns to SEO Settings screen with previous settings preserved.</t>
  </si>
  <si>
    <t>User arrives from SEO Research screen</t>
  </si>
  <si>
    <t>Verify all UI elements on Optimized Outline screen are displayed</t>
  </si>
  <si>
    <t>1. Navigate from SEO Research screen.
2. Check: Tabs (Research/Outline), Target Keywords section, Optimized Outline section, Back/Optimize buttons.</t>
  </si>
  <si>
    <t>All elements visible. 'Outline' tab is active.</t>
  </si>
  <si>
    <t>Target Keywords Section</t>
  </si>
  <si>
    <t>Analysis and research are complete</t>
  </si>
  <si>
    <t>Verify Target Keywords shows keywords with heading level and search volume</t>
  </si>
  <si>
    <t>1. Observe Target Keywords section.
2. Verify each keyword shows: text, heading level (H1/H2/H3), search volume.</t>
  </si>
  <si>
    <t>At least 3 target keywords displayed with heading level and search volume.</t>
  </si>
  <si>
    <t>Optimized Outline</t>
  </si>
  <si>
    <t>User is on Optimized Outline Screen</t>
  </si>
  <si>
    <t>Verify AI-generated outline is displayed with correct hierarchy</t>
  </si>
  <si>
    <t>1. Observe Optimized Outline section.
2. Verify structured headings H1 &gt; H2 &gt; H3 based on selected keywords.</t>
  </si>
  <si>
    <t>Outline displayed with clear H1 &gt; H2 &gt; H3 hierarchy based on research results.</t>
  </si>
  <si>
    <t>User reviewed the outline</t>
  </si>
  <si>
    <t>Verify Optimize Content button navigates to Screen 5</t>
  </si>
  <si>
    <t>User navigated to Screen 5 (Edit Article).</t>
  </si>
  <si>
    <t>Verify Back button returns to SEO Research screen</t>
  </si>
  <si>
    <t>User returns to SEO Research screen (SEO Research) with results preserved.</t>
  </si>
  <si>
    <t>User arrives from Optimized Outline Screen</t>
  </si>
  <si>
    <t>Verify all UI elements on Edit Article screen are displayed</t>
  </si>
  <si>
    <t>1. Navigate from Optimized Outline Screen.
2. Check: Article Title input, Content Editor, Word Count, Quality Scores Panel, Improve button, Rewrite button, Submit button.</t>
  </si>
  <si>
    <t>All elements visible. AI-generated article pre-populated in Content Editor.</t>
  </si>
  <si>
    <t>Article content is pre-populated</t>
  </si>
  <si>
    <t>Verify Content Editor allows manual editing</t>
  </si>
  <si>
    <t>1. Click inside Content Editor.
2. Modify a paragraph (add/delete/change text).
3. Verify changes reflected immediately.</t>
  </si>
  <si>
    <t>All edits reflected in real time without data loss.</t>
  </si>
  <si>
    <t>Quality Scores Panel</t>
  </si>
  <si>
    <t>Article content is loaded</t>
  </si>
  <si>
    <t>Verify Quality Scores Panel shows SEO score and content quality metrics</t>
  </si>
  <si>
    <t>1. Observe Quality Scores Panel.
2. Check SEO Score and Content Quality values.
3. Edit content and verify scores update.</t>
  </si>
  <si>
    <t>SEO score and content quality metrics displayed and update after content changes.</t>
  </si>
  <si>
    <t>Improve Button</t>
  </si>
  <si>
    <t>Content is loaded in editor</t>
  </si>
  <si>
    <t>Verify Improve button enhances content without full rewrite</t>
  </si>
  <si>
    <t>1. Click 'Improve' button.
2. Observe changes in Content Editor.
3. Verify structure is maintained.</t>
  </si>
  <si>
    <t>Content improved (better phrasing/SEO) without complete rewrite. Loading indicator shown during processing.</t>
  </si>
  <si>
    <t>Rewrite Button</t>
  </si>
  <si>
    <t>Verify Rewrite button generates new SEO-optimized version</t>
  </si>
  <si>
    <t>1. Click 'Rewrite' button.
2. Observe new content generated.
3. Compare with original.</t>
  </si>
  <si>
    <t>New article content generated with stronger SEO. Loading indicator shown. Original replaced or comparison view shown.</t>
  </si>
  <si>
    <t>Submit for Approval</t>
  </si>
  <si>
    <t>Article content is finalized</t>
  </si>
  <si>
    <t>Verify Submit for Approval button submits content correctly</t>
  </si>
  <si>
    <t>1. Click the Submit for Approval button in footer.
2. Observe system response.</t>
  </si>
  <si>
    <t>Content submitted successfully. Success message shown or user redirected to Approval module.</t>
  </si>
  <si>
    <t>BUG-SEO-05</t>
  </si>
  <si>
    <t>User Story 06</t>
  </si>
  <si>
    <t>ID-001~ID-0011</t>
  </si>
  <si>
    <t>Collaboration Page Layout</t>
  </si>
  <si>
    <t>User logged into system</t>
  </si>
  <si>
    <t>Verify all UI elements of Collaboration page display correctly</t>
  </si>
  <si>
    <t>1. Login to the system
2. Click Collaboration on sidebar
3. Observe page layout</t>
  </si>
  <si>
    <t>Team Members section, Search bar, Invite Member button, and Recent Activity section are displayed correctly</t>
  </si>
  <si>
    <t>BUG-COL-01</t>
  </si>
  <si>
    <t>Linh Nhi</t>
  </si>
  <si>
    <t>Invite Member Button</t>
  </si>
  <si>
    <t>User is on Collaboration page</t>
  </si>
  <si>
    <t>Verify Invite Member button opens invite form</t>
  </si>
  <si>
    <t>1. Navigate to Collaboration page
2. Click Invite Member</t>
  </si>
  <si>
    <t>Invite Member popup/modal is displayed</t>
  </si>
  <si>
    <t>Search Team Member</t>
  </si>
  <si>
    <t>Team members exist</t>
  </si>
  <si>
    <t>Verify search bar filters team members</t>
  </si>
  <si>
    <t>1. Navigate to Collaboration page
2. Enter a member name in search bar</t>
  </si>
  <si>
    <t>System displays matching members</t>
  </si>
  <si>
    <t>Role Badge Display</t>
  </si>
  <si>
    <t>Verify role badge (Admin/Member) is displayed</t>
  </si>
  <si>
    <t>1. Open Collaboration page
2. Observe member</t>
  </si>
  <si>
    <t>Each member shows the correct role badge</t>
  </si>
  <si>
    <t>Member Information Display</t>
  </si>
  <si>
    <t>Verify member card displays correct information</t>
  </si>
  <si>
    <t>1. Open Collaboration page</t>
  </si>
  <si>
    <t>Member avatar, name, email, and content count are displayed correctly</t>
  </si>
  <si>
    <t>Recent Activity Display</t>
  </si>
  <si>
    <t>System contains activity logs</t>
  </si>
  <si>
    <t>Verify Recent Activity section displays activity logs</t>
  </si>
  <si>
    <t>1. Navigate to Collaboration page
2. Scroll to Recent Activity section</t>
  </si>
  <si>
    <t>Activity list shows user action, content title, and timestamp</t>
  </si>
  <si>
    <t>Email Input</t>
  </si>
  <si>
    <t>Invite Member form is open</t>
  </si>
  <si>
    <t>Verify email input accepts valid email</t>
  </si>
  <si>
    <t>1. Open Invite Member form
2. Enter email: user@example.com</t>
  </si>
  <si>
    <t>Email is accepted and displayed correctly</t>
  </si>
  <si>
    <t>Validation</t>
  </si>
  <si>
    <t>Invalid Email</t>
  </si>
  <si>
    <t>Verify system shows error for invalid email</t>
  </si>
  <si>
    <t>1. Enter email: abc123
2. Click Invite</t>
  </si>
  <si>
    <t>System displays validation message for invalid email</t>
  </si>
  <si>
    <t>Role Selection</t>
  </si>
  <si>
    <t>Verify user can select role from dropdown</t>
  </si>
  <si>
    <t>1. Click Role dropdown
2. Select Member</t>
  </si>
  <si>
    <t>Selected role is displayed in dropdown</t>
  </si>
  <si>
    <t>Email entered and role selected</t>
  </si>
  <si>
    <t>Verify invitation is sent successfully</t>
  </si>
  <si>
    <t>1. Enter valid email
2. Select role
3. Click Invite</t>
  </si>
  <si>
    <t>System sends invitation successfully</t>
  </si>
  <si>
    <t>Cancel Button</t>
  </si>
  <si>
    <t>Verify Cancel button closes invite form</t>
  </si>
  <si>
    <t>1. Click Cancel button</t>
  </si>
  <si>
    <t>Invite Member form closes</t>
  </si>
  <si>
    <t>User Story 07</t>
  </si>
  <si>
    <t>Approval Page Layout</t>
  </si>
  <si>
    <t>Verify Approval Workflow page displays all UI elements correctly</t>
  </si>
  <si>
    <t>1. Login to system
2. Click Approval on sidebar</t>
  </si>
  <si>
    <t>Approval statistics, Approval Queue, filter tabs, and content list are displayed correctly</t>
  </si>
  <si>
    <t>02/03/2026</t>
  </si>
  <si>
    <t>07/03/2026</t>
  </si>
  <si>
    <t>12/03/2026</t>
  </si>
  <si>
    <t>Approval Statistics</t>
  </si>
  <si>
    <t>Approval page opened</t>
  </si>
  <si>
    <t>Verify statistics cards display correct numbers</t>
  </si>
  <si>
    <t>1. Navigate to Approval page
2. Observe Pending Review, Approved, Rejected cards</t>
  </si>
  <si>
    <t>Statistics cards show correct counts</t>
  </si>
  <si>
    <t>Filter Tabs</t>
  </si>
  <si>
    <t>Content items exist</t>
  </si>
  <si>
    <t>Verify filter tabs filter content list</t>
  </si>
  <si>
    <t>1. Open Approval page
2. Click Pending tab
3. Click Reviewed tab</t>
  </si>
  <si>
    <t>Content list updates based on selected filter</t>
  </si>
  <si>
    <t>Content Item Display</t>
  </si>
  <si>
    <t>Verify content item displays correct information</t>
  </si>
  <si>
    <t>1. Open Approval page
2. Observe content items</t>
  </si>
  <si>
    <t>Each item shows title, author, timestamp, and status badge</t>
  </si>
  <si>
    <t>Review Button</t>
  </si>
  <si>
    <t>Content item status = Pending Review</t>
  </si>
  <si>
    <t>Verify Review button opens review modal</t>
  </si>
  <si>
    <t>1. Navigate to Approval page
2. Click Review button</t>
  </si>
  <si>
    <t>Review modal is displayed</t>
  </si>
  <si>
    <t>Approve Content</t>
  </si>
  <si>
    <t>Review modal opened</t>
  </si>
  <si>
    <t>Verify reviewer can approve content</t>
  </si>
  <si>
    <t>1. Click Approve button</t>
  </si>
  <si>
    <t>Content status changes to Approved</t>
  </si>
  <si>
    <t>Reject Content</t>
  </si>
  <si>
    <t>Verify reviewer can reject content</t>
  </si>
  <si>
    <t>1. Click Reject button</t>
  </si>
  <si>
    <t>Content status changes to Rejected</t>
  </si>
  <si>
    <t>Status Badge Display</t>
  </si>
  <si>
    <t>Verify status badge displays correct color and label</t>
  </si>
  <si>
    <t>1. Open Approval page</t>
  </si>
  <si>
    <t>Pending Review, Approved, and Rejected badges are displayed correctly</t>
  </si>
  <si>
    <t>Approved Content Display</t>
  </si>
  <si>
    <t>Some content already approved</t>
  </si>
  <si>
    <t>Verify approved content appears correctly in list</t>
  </si>
  <si>
    <t>1. Navigate to Approval page</t>
  </si>
  <si>
    <t>Approved content shows Approved status badge</t>
  </si>
  <si>
    <t>Rejected Content Display</t>
  </si>
  <si>
    <t>Some content already rejected</t>
  </si>
  <si>
    <t>Verify rejected content appears correctly</t>
  </si>
  <si>
    <t>Rejected content shows Rejected badge</t>
  </si>
  <si>
    <t>Review Modal Layout</t>
  </si>
  <si>
    <t>Verify review modal displays correct layout</t>
  </si>
  <si>
    <t>1. Click Review button</t>
  </si>
  <si>
    <t>Modal shows content title, Approve button, and Reject button</t>
  </si>
  <si>
    <t>INSTRUCTION</t>
  </si>
  <si>
    <t>This sheet is to describe/explain how to input/update in fields of the template</t>
  </si>
  <si>
    <t>Title</t>
  </si>
  <si>
    <t>Instruction</t>
  </si>
  <si>
    <t>Ex: 1, 2, 3, 4</t>
  </si>
  <si>
    <t xml:space="preserve">PM </t>
  </si>
  <si>
    <t>BA</t>
  </si>
  <si>
    <t>QC</t>
  </si>
  <si>
    <t>Quality Control</t>
  </si>
  <si>
    <t>Ver.</t>
  </si>
  <si>
    <t>1.0 version</t>
  </si>
  <si>
    <t>Ex: 1.2, 1.3</t>
  </si>
  <si>
    <t>Software requirements specification/ User Stories No. Related to test cases, which just updated</t>
  </si>
  <si>
    <t>Ex: User Story 01</t>
  </si>
  <si>
    <t>For each software requirements specification/ User Stories No., some test cases are added. List id of them on this field.</t>
  </si>
  <si>
    <t>Ex: Add TC 1 ~ 14 for User Story 01, so, input "ID-001~ID-0014" in this field.</t>
  </si>
  <si>
    <t>Date, Creation Date</t>
  </si>
  <si>
    <t>Ex: 10/03/2026</t>
  </si>
  <si>
    <t>14/03/2026</t>
  </si>
  <si>
    <t>Ex: Testing in a week (from 09/20/2017 to 09/26/2017), fill "09/26/2017" in this field.</t>
  </si>
  <si>
    <t xml:space="preserve">Platform </t>
  </si>
  <si>
    <t>Google Chrome
Microsoft Edge</t>
  </si>
  <si>
    <t>Ex: 
1. Google Chrome Version 60.0.3112.113 on Windows 
2. Microsoft Edge</t>
  </si>
  <si>
    <t>Ex: category "Admin"</t>
  </si>
  <si>
    <t>Generate Article</t>
  </si>
  <si>
    <t>Ex: In category "Admin", has some sub-category: Users information, Reporter information.</t>
  </si>
  <si>
    <t>User logged in successfully</t>
  </si>
  <si>
    <t>Ex: Login successfully prior to Edit profile. So, in Pre-conditions field, input "Login successfully".</t>
  </si>
  <si>
    <t>Verify the system can generate article content using AI</t>
  </si>
  <si>
    <t xml:space="preserve">Step-by-step procedure to execute the test (include data information needed to execute the test). </t>
  </si>
  <si>
    <t>The system generates a complete article</t>
  </si>
  <si>
    <t>Ex: The actual result is same with expected result, fill "Passed".</t>
  </si>
  <si>
    <t>The date of execution of the test. Format is dd/mm/yyyy</t>
  </si>
  <si>
    <t>The name of the tester who executed the test case.</t>
  </si>
  <si>
    <t>Any comments on the test case or test execution, such as known issues, environment notes, or reasons for being blocked.</t>
  </si>
  <si>
    <t xml:space="preserve">The ID of the bug logged when a test case result is Failed or Blocked.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</si>
</sst>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2.0"/>
      <color rgb="FF000000"/>
      <name val="Calibri"/>
      <scheme val="minor"/>
    </font>
    <font>
      <color theme="1"/>
      <name val="Fira Sans Extra Condensed"/>
    </font>
    <font>
      <sz val="12.0"/>
      <color rgb="FF000000"/>
      <name val="Fira Sans Extra Condensed"/>
    </font>
    <font>
      <sz val="18.0"/>
      <color rgb="FF000000"/>
      <name val="Fira Sans Extra Condensed"/>
    </font>
    <font>
      <b/>
      <sz val="12.0"/>
      <color rgb="FFFFFFFF"/>
      <name val="Fira Sans Extra Condensed"/>
    </font>
    <font/>
    <font>
      <sz val="10.0"/>
      <color rgb="FF000000"/>
      <name val="Fira Sans Extra Condensed"/>
    </font>
    <font>
      <b/>
      <sz val="14.0"/>
      <color rgb="FF000000"/>
      <name val="Fira Sans Extra Condensed"/>
    </font>
    <font>
      <b/>
      <sz val="10.0"/>
      <color rgb="FFFFFFFF"/>
      <name val="Fira Sans Extra Condensed"/>
    </font>
    <font>
      <sz val="10.0"/>
      <color theme="1"/>
      <name val="Fira Sans Extra Condensed"/>
    </font>
    <font>
      <b/>
      <sz val="10.0"/>
      <color rgb="FF000000"/>
      <name val="Fira Sans Extra Condensed"/>
    </font>
    <font>
      <b/>
      <sz val="10.0"/>
      <color theme="1"/>
      <name val="Fira Sans Extra Condensed"/>
    </font>
    <font>
      <i/>
      <sz val="10.0"/>
      <color rgb="FF4472C4"/>
      <name val="Fira Sans Extra Condensed"/>
    </font>
    <font>
      <i/>
      <sz val="10.0"/>
      <color rgb="FF2E75B5"/>
      <name val="Fira Sans Extra Condensed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6" numFmtId="0" xfId="0" applyBorder="1" applyFont="1"/>
    <xf borderId="3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3" fillId="2" fontId="8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3" fillId="0" fontId="6" numFmtId="49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6" numFmtId="164" xfId="0" applyAlignment="1" applyBorder="1" applyFont="1" applyNumberFormat="1">
      <alignment horizontal="center" readingOrder="0" vertical="center"/>
    </xf>
    <xf borderId="3" fillId="0" fontId="6" numFmtId="49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4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5" fillId="0" fontId="5" numFmtId="0" xfId="0" applyBorder="1" applyFont="1"/>
    <xf borderId="4" fillId="2" fontId="8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1" fillId="2" fontId="8" numFmtId="0" xfId="0" applyAlignment="1" applyBorder="1" applyFont="1">
      <alignment horizontal="center" readingOrder="0" vertical="center"/>
    </xf>
    <xf borderId="7" fillId="0" fontId="5" numFmtId="0" xfId="0" applyBorder="1" applyFont="1"/>
    <xf borderId="3" fillId="0" fontId="6" numFmtId="49" xfId="0" applyAlignment="1" applyBorder="1" applyFont="1" applyNumberFormat="1">
      <alignment horizontal="center" readingOrder="0" vertical="center"/>
    </xf>
    <xf borderId="8" fillId="0" fontId="9" numFmtId="1" xfId="0" applyAlignment="1" applyBorder="1" applyFont="1" applyNumberForma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0" fillId="0" fontId="7" numFmtId="0" xfId="0" applyFont="1"/>
    <xf borderId="0" fillId="0" fontId="9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3" fillId="2" fontId="8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/>
    </xf>
    <xf borderId="3" fillId="0" fontId="6" numFmtId="49" xfId="0" applyAlignment="1" applyBorder="1" applyFont="1" applyNumberFormat="1">
      <alignment horizontal="center" readingOrder="0"/>
    </xf>
    <xf borderId="3" fillId="0" fontId="6" numFmtId="1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9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6.0"/>
    <col customWidth="1" min="2" max="3" width="24.0"/>
    <col customWidth="1" min="4" max="23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3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4"/>
      <c r="B7" s="5" t="s">
        <v>1</v>
      </c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"/>
      <c r="B8" s="7" t="s">
        <v>2</v>
      </c>
      <c r="C8" s="7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7" t="s">
        <v>4</v>
      </c>
      <c r="C9" s="8" t="s">
        <v>5</v>
      </c>
      <c r="D9" s="2"/>
      <c r="E9" s="2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7" t="s">
        <v>6</v>
      </c>
      <c r="C10" s="8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7" t="s">
        <v>8</v>
      </c>
      <c r="C11" s="8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4"/>
      <c r="B13" s="5" t="s">
        <v>10</v>
      </c>
      <c r="C13" s="6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"/>
      <c r="B14" s="7" t="s">
        <v>11</v>
      </c>
      <c r="C14" s="8" t="s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7" t="s">
        <v>13</v>
      </c>
      <c r="C15" s="9" t="s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7" t="s">
        <v>15</v>
      </c>
      <c r="C16" s="8" t="s">
        <v>16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7" t="s">
        <v>17</v>
      </c>
      <c r="C17" s="8" t="s">
        <v>18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4:C5"/>
    <mergeCell ref="B7:C7"/>
    <mergeCell ref="B13:C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5.67"/>
    <col customWidth="1" min="5" max="8" width="22.33"/>
    <col customWidth="1" min="9" max="9" width="8.33"/>
    <col customWidth="1" min="10" max="26" width="10.56"/>
  </cols>
  <sheetData>
    <row r="1" ht="15.75" customHeight="1">
      <c r="A1" s="10"/>
      <c r="B1" s="11"/>
      <c r="C1" s="11"/>
      <c r="D1" s="11"/>
      <c r="E1" s="11"/>
      <c r="F1" s="11"/>
      <c r="G1" s="11"/>
      <c r="H1" s="11"/>
      <c r="I1" s="11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10"/>
      <c r="B2" s="11" t="s">
        <v>19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12"/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4" t="s">
        <v>25</v>
      </c>
      <c r="H4" s="14" t="s">
        <v>26</v>
      </c>
      <c r="I4" s="13" t="s">
        <v>27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5"/>
      <c r="B5" s="16">
        <v>1.0</v>
      </c>
      <c r="C5" s="17">
        <v>1.0</v>
      </c>
      <c r="D5" s="18" t="s">
        <v>28</v>
      </c>
      <c r="E5" s="19" t="s">
        <v>29</v>
      </c>
      <c r="F5" s="20" t="s">
        <v>12</v>
      </c>
      <c r="G5" s="21" t="s">
        <v>30</v>
      </c>
      <c r="H5" s="21" t="s">
        <v>30</v>
      </c>
      <c r="I5" s="21" t="s">
        <v>31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0" customHeight="1">
      <c r="A6" s="15"/>
      <c r="B6" s="16">
        <v>2.0</v>
      </c>
      <c r="C6" s="17">
        <v>1.1</v>
      </c>
      <c r="D6" s="18" t="s">
        <v>32</v>
      </c>
      <c r="E6" s="19" t="s">
        <v>33</v>
      </c>
      <c r="F6" s="20" t="s">
        <v>12</v>
      </c>
      <c r="G6" s="21" t="s">
        <v>34</v>
      </c>
      <c r="H6" s="21" t="s">
        <v>9</v>
      </c>
      <c r="I6" s="21" t="s">
        <v>35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6">
        <v>3.0</v>
      </c>
      <c r="C7" s="20">
        <v>1.2</v>
      </c>
      <c r="D7" s="18" t="s">
        <v>32</v>
      </c>
      <c r="E7" s="22" t="s">
        <v>36</v>
      </c>
      <c r="F7" s="21" t="s">
        <v>18</v>
      </c>
      <c r="G7" s="21" t="s">
        <v>34</v>
      </c>
      <c r="H7" s="21" t="s">
        <v>9</v>
      </c>
      <c r="I7" s="21" t="s">
        <v>35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6">
        <v>4.0</v>
      </c>
      <c r="C8" s="20">
        <v>1.3</v>
      </c>
      <c r="D8" s="18" t="s">
        <v>32</v>
      </c>
      <c r="E8" s="22" t="s">
        <v>37</v>
      </c>
      <c r="F8" s="21" t="s">
        <v>14</v>
      </c>
      <c r="G8" s="21" t="s">
        <v>34</v>
      </c>
      <c r="H8" s="21" t="s">
        <v>9</v>
      </c>
      <c r="I8" s="21" t="s">
        <v>35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6">
        <v>5.0</v>
      </c>
      <c r="C9" s="20">
        <v>1.4</v>
      </c>
      <c r="D9" s="18" t="s">
        <v>32</v>
      </c>
      <c r="E9" s="22" t="s">
        <v>38</v>
      </c>
      <c r="F9" s="21" t="s">
        <v>16</v>
      </c>
      <c r="G9" s="21" t="s">
        <v>34</v>
      </c>
      <c r="H9" s="21" t="s">
        <v>9</v>
      </c>
      <c r="I9" s="21" t="s">
        <v>35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10"/>
      <c r="B11" s="11" t="s">
        <v>39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12"/>
      <c r="B13" s="13" t="s">
        <v>20</v>
      </c>
      <c r="C13" s="13" t="s">
        <v>21</v>
      </c>
      <c r="D13" s="13" t="s">
        <v>22</v>
      </c>
      <c r="E13" s="13" t="s">
        <v>23</v>
      </c>
      <c r="F13" s="13" t="s">
        <v>24</v>
      </c>
      <c r="G13" s="14" t="s">
        <v>25</v>
      </c>
      <c r="H13" s="14" t="s">
        <v>26</v>
      </c>
      <c r="I13" s="13" t="s">
        <v>27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5"/>
      <c r="B14" s="16">
        <v>1.0</v>
      </c>
      <c r="C14" s="17">
        <v>0.1</v>
      </c>
      <c r="D14" s="18" t="s">
        <v>28</v>
      </c>
      <c r="E14" s="22" t="s">
        <v>40</v>
      </c>
      <c r="F14" s="20" t="s">
        <v>12</v>
      </c>
      <c r="G14" s="23" t="s">
        <v>30</v>
      </c>
      <c r="H14" s="23" t="s">
        <v>30</v>
      </c>
      <c r="I14" s="20" t="s">
        <v>31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5"/>
      <c r="B15" s="16">
        <v>2.0</v>
      </c>
      <c r="C15" s="17"/>
      <c r="D15" s="24"/>
      <c r="E15" s="19"/>
      <c r="F15" s="17"/>
      <c r="G15" s="17"/>
      <c r="H15" s="17"/>
      <c r="I15" s="17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5"/>
      <c r="B16" s="16">
        <v>3.0</v>
      </c>
      <c r="C16" s="17"/>
      <c r="D16" s="17"/>
      <c r="E16" s="19"/>
      <c r="F16" s="17"/>
      <c r="G16" s="17"/>
      <c r="H16" s="17"/>
      <c r="I16" s="17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5"/>
      <c r="B17" s="16">
        <v>4.0</v>
      </c>
      <c r="C17" s="17"/>
      <c r="D17" s="17"/>
      <c r="E17" s="17"/>
      <c r="F17" s="17"/>
      <c r="G17" s="17"/>
      <c r="H17" s="17"/>
      <c r="I17" s="17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/>
      <c r="B18" s="16">
        <v>5.0</v>
      </c>
      <c r="C18" s="17"/>
      <c r="D18" s="17"/>
      <c r="E18" s="17"/>
      <c r="F18" s="17"/>
      <c r="G18" s="17"/>
      <c r="H18" s="17"/>
      <c r="I18" s="17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11:I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5.67"/>
    <col customWidth="1" min="2" max="2" width="17.44"/>
    <col customWidth="1" min="3" max="3" width="13.11"/>
    <col customWidth="1" min="4" max="4" width="10.67"/>
    <col customWidth="1" min="5" max="5" width="5.33"/>
    <col customWidth="1" min="6" max="6" width="4.22"/>
    <col customWidth="1" min="7" max="7" width="4.89"/>
    <col customWidth="1" min="8" max="8" width="4.22"/>
    <col customWidth="1" min="9" max="9" width="5.44"/>
    <col customWidth="1" min="10" max="10" width="4.22"/>
    <col customWidth="1" min="11" max="11" width="4.89"/>
    <col customWidth="1" min="12" max="12" width="4.22"/>
    <col customWidth="1" min="13" max="16" width="5.89"/>
    <col customWidth="1" min="17" max="17" width="5.78"/>
    <col customWidth="1" min="18" max="26" width="10.56"/>
  </cols>
  <sheetData>
    <row r="1" ht="15.75" customHeight="1">
      <c r="A1" s="25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26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27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26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8" t="s">
        <v>20</v>
      </c>
      <c r="B3" s="28" t="s">
        <v>42</v>
      </c>
      <c r="C3" s="28" t="s">
        <v>43</v>
      </c>
      <c r="D3" s="28" t="s">
        <v>44</v>
      </c>
      <c r="E3" s="29" t="s">
        <v>45</v>
      </c>
      <c r="F3" s="30"/>
      <c r="G3" s="30"/>
      <c r="H3" s="6"/>
      <c r="I3" s="29" t="s">
        <v>46</v>
      </c>
      <c r="J3" s="30"/>
      <c r="K3" s="30"/>
      <c r="L3" s="6"/>
      <c r="M3" s="29" t="s">
        <v>47</v>
      </c>
      <c r="N3" s="30"/>
      <c r="O3" s="30"/>
      <c r="P3" s="6"/>
      <c r="Q3" s="31" t="s">
        <v>27</v>
      </c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32"/>
      <c r="B4" s="32"/>
      <c r="C4" s="32"/>
      <c r="D4" s="32"/>
      <c r="E4" s="33" t="s">
        <v>48</v>
      </c>
      <c r="F4" s="6"/>
      <c r="G4" s="33" t="s">
        <v>49</v>
      </c>
      <c r="H4" s="6"/>
      <c r="I4" s="33" t="s">
        <v>48</v>
      </c>
      <c r="J4" s="6"/>
      <c r="K4" s="33" t="s">
        <v>49</v>
      </c>
      <c r="L4" s="6"/>
      <c r="M4" s="33" t="s">
        <v>48</v>
      </c>
      <c r="N4" s="6"/>
      <c r="O4" s="33" t="s">
        <v>49</v>
      </c>
      <c r="P4" s="6"/>
      <c r="Q4" s="32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34"/>
      <c r="B5" s="34"/>
      <c r="C5" s="34"/>
      <c r="D5" s="34"/>
      <c r="E5" s="13" t="s">
        <v>50</v>
      </c>
      <c r="F5" s="13" t="s">
        <v>51</v>
      </c>
      <c r="G5" s="13" t="s">
        <v>50</v>
      </c>
      <c r="H5" s="13" t="s">
        <v>51</v>
      </c>
      <c r="I5" s="13" t="s">
        <v>50</v>
      </c>
      <c r="J5" s="13" t="s">
        <v>51</v>
      </c>
      <c r="K5" s="13" t="s">
        <v>50</v>
      </c>
      <c r="L5" s="13" t="s">
        <v>51</v>
      </c>
      <c r="M5" s="13" t="s">
        <v>50</v>
      </c>
      <c r="N5" s="13" t="s">
        <v>51</v>
      </c>
      <c r="O5" s="13" t="s">
        <v>50</v>
      </c>
      <c r="P5" s="13" t="s">
        <v>51</v>
      </c>
      <c r="Q5" s="34"/>
      <c r="R5" s="15"/>
      <c r="S5" s="15"/>
      <c r="T5" s="15"/>
      <c r="U5" s="15"/>
      <c r="V5" s="15"/>
      <c r="W5" s="15"/>
      <c r="X5" s="15"/>
      <c r="Y5" s="15"/>
      <c r="Z5" s="15"/>
    </row>
    <row r="6">
      <c r="A6" s="16">
        <v>1.0</v>
      </c>
      <c r="B6" s="9" t="s">
        <v>52</v>
      </c>
      <c r="C6" s="35" t="s">
        <v>53</v>
      </c>
      <c r="D6" s="36">
        <f t="shared" ref="D6:D12" si="1">INDIRECT(ADDRESS(8,14,1,TRUE,B6))</f>
        <v>36</v>
      </c>
      <c r="E6" s="36">
        <f t="shared" ref="E6:E12" si="2">INDIRECT(ADDRESS(4,8,1,TRUE,$B6))</f>
        <v>6</v>
      </c>
      <c r="F6" s="36">
        <f t="shared" ref="F6:F12" si="3">INDIRECT(ADDRESS(5,8,1,TRUE,$B6))</f>
        <v>0</v>
      </c>
      <c r="G6" s="36">
        <f t="shared" ref="G6:G12" si="4">INDIRECT(ADDRESS(4,9,1,TRUE,$B6))</f>
        <v>6</v>
      </c>
      <c r="H6" s="36">
        <f t="shared" ref="H6:H12" si="5">INDIRECT(ADDRESS(5,9,1,TRUE,$B6))</f>
        <v>0</v>
      </c>
      <c r="I6" s="36">
        <f t="shared" ref="I6:I12" si="6">INDIRECT(ADDRESS(4,10,1,TRUE,$B6))</f>
        <v>6</v>
      </c>
      <c r="J6" s="36">
        <f t="shared" ref="J6:J12" si="7">INDIRECT(ADDRESS(5,10,1,TRUE,$B6))</f>
        <v>0</v>
      </c>
      <c r="K6" s="36">
        <f t="shared" ref="K6:K12" si="8">INDIRECT(ADDRESS(4,11,1,TRUE,$B6))</f>
        <v>6</v>
      </c>
      <c r="L6" s="36">
        <f t="shared" ref="L6:L12" si="9">INDIRECT(ADDRESS(5,11,1,TRUE,$B6))</f>
        <v>0</v>
      </c>
      <c r="M6" s="36">
        <f t="shared" ref="M6:M12" si="10">INDIRECT(ADDRESS(4,12,1,TRUE,$B6))</f>
        <v>6</v>
      </c>
      <c r="N6" s="36">
        <f t="shared" ref="N6:N12" si="11">INDIRECT(ADDRESS(5,12,1,TRUE,$B6))</f>
        <v>0</v>
      </c>
      <c r="O6" s="36">
        <f t="shared" ref="O6:O12" si="12">INDIRECT(ADDRESS(4,13,1,TRUE,$B6))</f>
        <v>6</v>
      </c>
      <c r="P6" s="36">
        <f t="shared" ref="P6:P12" si="13">INDIRECT(ADDRESS(5,13,1,TRUE,$B6))</f>
        <v>0</v>
      </c>
      <c r="Q6" s="37"/>
      <c r="R6" s="15"/>
      <c r="S6" s="15"/>
      <c r="T6" s="15"/>
      <c r="U6" s="15"/>
      <c r="V6" s="15"/>
      <c r="W6" s="15"/>
      <c r="X6" s="15"/>
      <c r="Y6" s="15"/>
      <c r="Z6" s="15"/>
    </row>
    <row r="7">
      <c r="A7" s="16">
        <v>2.0</v>
      </c>
      <c r="B7" s="9" t="s">
        <v>54</v>
      </c>
      <c r="C7" s="35" t="s">
        <v>53</v>
      </c>
      <c r="D7" s="36">
        <f t="shared" si="1"/>
        <v>36</v>
      </c>
      <c r="E7" s="36">
        <f t="shared" si="2"/>
        <v>3</v>
      </c>
      <c r="F7" s="36">
        <f t="shared" si="3"/>
        <v>3</v>
      </c>
      <c r="G7" s="36">
        <f t="shared" si="4"/>
        <v>3</v>
      </c>
      <c r="H7" s="36">
        <f t="shared" si="5"/>
        <v>3</v>
      </c>
      <c r="I7" s="36">
        <f t="shared" si="6"/>
        <v>5</v>
      </c>
      <c r="J7" s="36">
        <f t="shared" si="7"/>
        <v>1</v>
      </c>
      <c r="K7" s="36">
        <f t="shared" si="8"/>
        <v>5</v>
      </c>
      <c r="L7" s="36">
        <f t="shared" si="9"/>
        <v>1</v>
      </c>
      <c r="M7" s="36">
        <f t="shared" si="10"/>
        <v>6</v>
      </c>
      <c r="N7" s="36">
        <f t="shared" si="11"/>
        <v>0</v>
      </c>
      <c r="O7" s="36">
        <f t="shared" si="12"/>
        <v>6</v>
      </c>
      <c r="P7" s="36">
        <f t="shared" si="13"/>
        <v>0</v>
      </c>
      <c r="Q7" s="37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6">
        <v>3.0</v>
      </c>
      <c r="B8" s="9" t="s">
        <v>55</v>
      </c>
      <c r="C8" s="35" t="s">
        <v>53</v>
      </c>
      <c r="D8" s="36">
        <f t="shared" si="1"/>
        <v>78</v>
      </c>
      <c r="E8" s="36">
        <f t="shared" si="2"/>
        <v>6</v>
      </c>
      <c r="F8" s="36">
        <f t="shared" si="3"/>
        <v>7</v>
      </c>
      <c r="G8" s="36">
        <f t="shared" si="4"/>
        <v>6</v>
      </c>
      <c r="H8" s="36">
        <f t="shared" si="5"/>
        <v>7</v>
      </c>
      <c r="I8" s="36">
        <f t="shared" si="6"/>
        <v>12</v>
      </c>
      <c r="J8" s="36">
        <f t="shared" si="7"/>
        <v>1</v>
      </c>
      <c r="K8" s="36">
        <f t="shared" si="8"/>
        <v>12</v>
      </c>
      <c r="L8" s="36">
        <f t="shared" si="9"/>
        <v>1</v>
      </c>
      <c r="M8" s="36">
        <f t="shared" si="10"/>
        <v>13</v>
      </c>
      <c r="N8" s="36">
        <f t="shared" si="11"/>
        <v>0</v>
      </c>
      <c r="O8" s="36">
        <f t="shared" si="12"/>
        <v>13</v>
      </c>
      <c r="P8" s="36">
        <f t="shared" si="13"/>
        <v>0</v>
      </c>
      <c r="Q8" s="37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16">
        <v>4.0</v>
      </c>
      <c r="B9" s="9" t="s">
        <v>56</v>
      </c>
      <c r="C9" s="35" t="s">
        <v>53</v>
      </c>
      <c r="D9" s="36">
        <f t="shared" si="1"/>
        <v>96</v>
      </c>
      <c r="E9" s="36">
        <f t="shared" si="2"/>
        <v>14</v>
      </c>
      <c r="F9" s="36">
        <f t="shared" si="3"/>
        <v>2</v>
      </c>
      <c r="G9" s="36">
        <f t="shared" si="4"/>
        <v>13</v>
      </c>
      <c r="H9" s="36">
        <f t="shared" si="5"/>
        <v>3</v>
      </c>
      <c r="I9" s="36">
        <f t="shared" si="6"/>
        <v>16</v>
      </c>
      <c r="J9" s="36">
        <f t="shared" si="7"/>
        <v>0</v>
      </c>
      <c r="K9" s="36">
        <f t="shared" si="8"/>
        <v>16</v>
      </c>
      <c r="L9" s="36">
        <f t="shared" si="9"/>
        <v>0</v>
      </c>
      <c r="M9" s="36">
        <f t="shared" si="10"/>
        <v>16</v>
      </c>
      <c r="N9" s="36">
        <f t="shared" si="11"/>
        <v>0</v>
      </c>
      <c r="O9" s="36">
        <f t="shared" si="12"/>
        <v>16</v>
      </c>
      <c r="P9" s="36">
        <f t="shared" si="13"/>
        <v>0</v>
      </c>
      <c r="Q9" s="37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6">
        <v>5.0</v>
      </c>
      <c r="B10" s="9" t="s">
        <v>57</v>
      </c>
      <c r="C10" s="35" t="s">
        <v>53</v>
      </c>
      <c r="D10" s="36">
        <f t="shared" si="1"/>
        <v>168</v>
      </c>
      <c r="E10" s="36">
        <f t="shared" si="2"/>
        <v>23</v>
      </c>
      <c r="F10" s="36">
        <f t="shared" si="3"/>
        <v>5</v>
      </c>
      <c r="G10" s="36">
        <f t="shared" si="4"/>
        <v>23</v>
      </c>
      <c r="H10" s="36">
        <f t="shared" si="5"/>
        <v>5</v>
      </c>
      <c r="I10" s="36">
        <f t="shared" si="6"/>
        <v>27</v>
      </c>
      <c r="J10" s="36">
        <f t="shared" si="7"/>
        <v>1</v>
      </c>
      <c r="K10" s="36">
        <f t="shared" si="8"/>
        <v>27</v>
      </c>
      <c r="L10" s="36">
        <f t="shared" si="9"/>
        <v>1</v>
      </c>
      <c r="M10" s="36">
        <f t="shared" si="10"/>
        <v>28</v>
      </c>
      <c r="N10" s="36">
        <f t="shared" si="11"/>
        <v>0</v>
      </c>
      <c r="O10" s="36">
        <f t="shared" si="12"/>
        <v>28</v>
      </c>
      <c r="P10" s="36">
        <f t="shared" si="13"/>
        <v>0</v>
      </c>
      <c r="Q10" s="37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6">
        <v>6.0</v>
      </c>
      <c r="B11" s="9" t="s">
        <v>58</v>
      </c>
      <c r="C11" s="35" t="s">
        <v>53</v>
      </c>
      <c r="D11" s="36">
        <f t="shared" si="1"/>
        <v>66</v>
      </c>
      <c r="E11" s="36">
        <f t="shared" si="2"/>
        <v>10</v>
      </c>
      <c r="F11" s="36">
        <f t="shared" si="3"/>
        <v>1</v>
      </c>
      <c r="G11" s="36">
        <f t="shared" si="4"/>
        <v>10</v>
      </c>
      <c r="H11" s="36">
        <f t="shared" si="5"/>
        <v>1</v>
      </c>
      <c r="I11" s="36">
        <f t="shared" si="6"/>
        <v>6</v>
      </c>
      <c r="J11" s="36">
        <f t="shared" si="7"/>
        <v>4</v>
      </c>
      <c r="K11" s="36">
        <f t="shared" si="8"/>
        <v>6</v>
      </c>
      <c r="L11" s="36">
        <f t="shared" si="9"/>
        <v>4</v>
      </c>
      <c r="M11" s="36">
        <f t="shared" si="10"/>
        <v>11</v>
      </c>
      <c r="N11" s="36">
        <f t="shared" si="11"/>
        <v>0</v>
      </c>
      <c r="O11" s="36">
        <f t="shared" si="12"/>
        <v>11</v>
      </c>
      <c r="P11" s="36">
        <f t="shared" si="13"/>
        <v>0</v>
      </c>
      <c r="Q11" s="37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6">
        <v>7.0</v>
      </c>
      <c r="B12" s="9" t="s">
        <v>59</v>
      </c>
      <c r="C12" s="35" t="s">
        <v>53</v>
      </c>
      <c r="D12" s="36">
        <f t="shared" si="1"/>
        <v>66</v>
      </c>
      <c r="E12" s="36">
        <f t="shared" si="2"/>
        <v>11</v>
      </c>
      <c r="F12" s="36">
        <f t="shared" si="3"/>
        <v>0</v>
      </c>
      <c r="G12" s="36">
        <f t="shared" si="4"/>
        <v>11</v>
      </c>
      <c r="H12" s="36">
        <f t="shared" si="5"/>
        <v>0</v>
      </c>
      <c r="I12" s="36">
        <f t="shared" si="6"/>
        <v>11</v>
      </c>
      <c r="J12" s="36">
        <f t="shared" si="7"/>
        <v>0</v>
      </c>
      <c r="K12" s="36">
        <f t="shared" si="8"/>
        <v>11</v>
      </c>
      <c r="L12" s="36">
        <f t="shared" si="9"/>
        <v>0</v>
      </c>
      <c r="M12" s="36">
        <f t="shared" si="10"/>
        <v>11</v>
      </c>
      <c r="N12" s="36">
        <f t="shared" si="11"/>
        <v>0</v>
      </c>
      <c r="O12" s="36">
        <f t="shared" si="12"/>
        <v>11</v>
      </c>
      <c r="P12" s="36">
        <f t="shared" si="13"/>
        <v>0</v>
      </c>
      <c r="Q12" s="37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38" t="s">
        <v>60</v>
      </c>
      <c r="B13" s="6"/>
      <c r="C13" s="39"/>
      <c r="D13" s="36">
        <f>SUM($D$6:$D$12)</f>
        <v>546</v>
      </c>
      <c r="E13" s="36">
        <f>SUM($E$6:$E$12)</f>
        <v>73</v>
      </c>
      <c r="F13" s="36">
        <f>SUM($F$6:$F$12)</f>
        <v>18</v>
      </c>
      <c r="G13" s="36">
        <f>SUM($G$6:$G$12)</f>
        <v>72</v>
      </c>
      <c r="H13" s="36">
        <f>SUM($H$6:$H$12)</f>
        <v>19</v>
      </c>
      <c r="I13" s="36">
        <f>SUM($I$6:$I$12)</f>
        <v>83</v>
      </c>
      <c r="J13" s="36">
        <f>SUM($J$6:$J$12)</f>
        <v>7</v>
      </c>
      <c r="K13" s="36">
        <f>SUM($K$6:$K$12)</f>
        <v>83</v>
      </c>
      <c r="L13" s="36">
        <f>SUM($L$6:$L$12)</f>
        <v>7</v>
      </c>
      <c r="M13" s="36">
        <f>SUM($M$6:$M$12)</f>
        <v>91</v>
      </c>
      <c r="N13" s="36">
        <f>SUM($N$6:$N$12)</f>
        <v>0</v>
      </c>
      <c r="O13" s="36">
        <f>SUM($O$6:$O$12)</f>
        <v>91</v>
      </c>
      <c r="P13" s="36">
        <f>SUM($P$6:$P$12)</f>
        <v>0</v>
      </c>
      <c r="Q13" s="37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27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26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27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6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6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27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26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7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26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27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26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26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27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6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7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6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7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26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7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26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27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26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7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26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2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26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26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27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26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26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27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26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26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27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26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7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26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27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26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7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26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27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6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7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6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27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26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7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26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27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26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7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26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27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26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26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2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26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26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2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26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26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2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26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26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2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26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26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2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26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26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2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26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2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26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2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26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26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2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26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26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27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26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26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2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26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26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2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26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2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26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27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26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26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2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26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26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2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26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26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2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26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26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2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26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26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2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26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2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26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27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26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2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26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2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26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2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26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2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26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2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26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2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26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2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26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2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26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2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26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2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26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2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26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2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26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2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26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2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26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2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26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2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26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2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26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2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26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2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26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2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26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2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26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2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26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2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26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2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26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2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26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2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26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2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26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2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26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2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26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2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26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2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26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2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26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2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26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2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26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2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26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2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26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2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26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2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26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2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26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2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26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2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26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2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26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2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26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2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26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2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26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2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26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2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26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2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26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2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26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2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26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2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26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2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26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2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26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2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26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2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26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2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26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2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26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2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26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2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26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2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26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2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26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2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26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2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26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2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26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2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26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2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26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2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26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2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26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2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26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2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26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2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26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2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26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2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26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2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26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2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26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2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26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2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26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2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26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2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26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2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26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2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26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2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26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2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26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2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26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2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26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2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26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2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26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2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26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2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26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2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26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2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26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2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26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2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26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2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26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2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26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2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26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2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26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2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26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2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26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2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26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2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26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2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26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2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26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2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26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2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26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2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26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2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26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2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26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2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26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2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26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2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26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2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26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2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26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2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26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2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26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2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26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2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26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2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26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2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26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2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26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2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26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2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26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2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26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2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26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2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26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2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26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2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26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2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26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2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26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2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26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2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26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2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26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2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26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2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26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2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26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2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26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2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26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2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26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5">
    <mergeCell ref="E3:H3"/>
    <mergeCell ref="E4:F4"/>
    <mergeCell ref="G4:H4"/>
    <mergeCell ref="A13:B13"/>
    <mergeCell ref="I4:J4"/>
    <mergeCell ref="K4:L4"/>
    <mergeCell ref="M4:N4"/>
    <mergeCell ref="O4:P4"/>
    <mergeCell ref="A3:A5"/>
    <mergeCell ref="B3:B5"/>
    <mergeCell ref="C3:C5"/>
    <mergeCell ref="D3:D5"/>
    <mergeCell ref="I3:L3"/>
    <mergeCell ref="M3:P3"/>
    <mergeCell ref="Q3:Q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78"/>
    <col customWidth="1" min="4" max="4" width="12.78"/>
    <col customWidth="1" min="5" max="5" width="22.33"/>
    <col customWidth="1" min="6" max="6" width="21.11"/>
    <col customWidth="1" min="7" max="7" width="33.44"/>
    <col customWidth="1" min="8" max="9" width="16.44"/>
    <col customWidth="1" min="10" max="10" width="17.33"/>
    <col customWidth="1" min="11" max="11" width="21.11"/>
    <col customWidth="1" min="12" max="12" width="13.11"/>
    <col customWidth="1" min="13" max="14" width="16.44"/>
    <col customWidth="1" min="15" max="15" width="17.33"/>
    <col customWidth="1" min="16" max="16" width="24.67"/>
    <col customWidth="1" min="17" max="17" width="13.67"/>
    <col customWidth="1" min="18" max="19" width="16.44"/>
    <col customWidth="1" min="20" max="20" width="17.33"/>
    <col customWidth="1" min="21" max="21" width="23.44"/>
    <col customWidth="1" min="22" max="22" width="13.33"/>
    <col customWidth="1" min="23" max="23" width="12.33"/>
    <col customWidth="1" min="24" max="26" width="10.56"/>
  </cols>
  <sheetData>
    <row r="1" ht="15.75" customHeight="1">
      <c r="A1" s="40" t="s">
        <v>61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1"/>
      <c r="X1" s="41"/>
      <c r="Y1" s="41"/>
      <c r="Z1" s="41"/>
    </row>
    <row r="2" ht="15.75" customHeight="1">
      <c r="A2" s="43"/>
      <c r="B2" s="41"/>
      <c r="C2" s="41"/>
      <c r="D2" s="41"/>
      <c r="E2" s="41"/>
      <c r="F2" s="41"/>
      <c r="G2" s="41"/>
      <c r="H2" s="29" t="s">
        <v>45</v>
      </c>
      <c r="I2" s="6"/>
      <c r="J2" s="29" t="s">
        <v>46</v>
      </c>
      <c r="K2" s="6"/>
      <c r="L2" s="29" t="s">
        <v>47</v>
      </c>
      <c r="M2" s="6"/>
      <c r="N2" s="28" t="s">
        <v>62</v>
      </c>
      <c r="O2" s="42"/>
      <c r="P2" s="42"/>
      <c r="Q2" s="42"/>
      <c r="R2" s="42"/>
      <c r="S2" s="42"/>
      <c r="T2" s="42"/>
      <c r="U2" s="42"/>
      <c r="V2" s="42"/>
      <c r="W2" s="41"/>
      <c r="X2" s="41"/>
      <c r="Y2" s="41"/>
      <c r="Z2" s="41"/>
    </row>
    <row r="3" ht="15.75" customHeight="1">
      <c r="A3" s="13" t="s">
        <v>24</v>
      </c>
      <c r="B3" s="13" t="s">
        <v>63</v>
      </c>
      <c r="C3" s="41"/>
      <c r="D3" s="13" t="s">
        <v>64</v>
      </c>
      <c r="E3" s="13" t="s">
        <v>65</v>
      </c>
      <c r="F3" s="41"/>
      <c r="G3" s="44"/>
      <c r="H3" s="45" t="s">
        <v>48</v>
      </c>
      <c r="I3" s="45" t="s">
        <v>49</v>
      </c>
      <c r="J3" s="45" t="s">
        <v>48</v>
      </c>
      <c r="K3" s="45" t="s">
        <v>49</v>
      </c>
      <c r="L3" s="45" t="s">
        <v>48</v>
      </c>
      <c r="M3" s="45" t="s">
        <v>49</v>
      </c>
      <c r="N3" s="34"/>
      <c r="O3" s="42"/>
      <c r="P3" s="42"/>
      <c r="Q3" s="42"/>
      <c r="R3" s="42"/>
      <c r="S3" s="42"/>
      <c r="T3" s="42"/>
      <c r="U3" s="42"/>
      <c r="V3" s="42"/>
      <c r="W3" s="41"/>
      <c r="X3" s="41"/>
      <c r="Y3" s="41"/>
      <c r="Z3" s="41"/>
    </row>
    <row r="4" ht="15.75" customHeight="1">
      <c r="A4" s="46" t="s">
        <v>12</v>
      </c>
      <c r="B4" s="18" t="s">
        <v>32</v>
      </c>
      <c r="C4" s="41"/>
      <c r="D4" s="46" t="s">
        <v>66</v>
      </c>
      <c r="E4" s="47" t="s">
        <v>67</v>
      </c>
      <c r="F4" s="41"/>
      <c r="G4" s="13" t="s">
        <v>68</v>
      </c>
      <c r="H4" s="48">
        <f t="shared" ref="H4:I4" si="1">COUNTIF(H13:H197,"PASSED")</f>
        <v>6</v>
      </c>
      <c r="I4" s="48">
        <f t="shared" si="1"/>
        <v>6</v>
      </c>
      <c r="J4" s="48">
        <f t="shared" ref="J4:K4" si="2">COUNTIF(M13:M197,"PASSED")</f>
        <v>6</v>
      </c>
      <c r="K4" s="48">
        <f t="shared" si="2"/>
        <v>6</v>
      </c>
      <c r="L4" s="48">
        <f t="shared" ref="L4:M4" si="3">COUNTIF(R13:R197,"PASSED")</f>
        <v>6</v>
      </c>
      <c r="M4" s="48">
        <f t="shared" si="3"/>
        <v>6</v>
      </c>
      <c r="N4" s="48">
        <f t="shared" ref="N4:N8" si="7">SUM(H4:M4)</f>
        <v>36</v>
      </c>
      <c r="O4" s="42"/>
      <c r="P4" s="42"/>
      <c r="Q4" s="42"/>
      <c r="R4" s="42"/>
      <c r="S4" s="42"/>
      <c r="T4" s="42"/>
      <c r="U4" s="42"/>
      <c r="V4" s="42"/>
      <c r="W4" s="41"/>
      <c r="X4" s="41"/>
      <c r="Y4" s="41"/>
      <c r="Z4" s="41"/>
    </row>
    <row r="5" ht="15.75" customHeight="1">
      <c r="A5" s="49"/>
      <c r="B5" s="49"/>
      <c r="C5" s="41"/>
      <c r="D5" s="49"/>
      <c r="E5" s="49"/>
      <c r="F5" s="41"/>
      <c r="G5" s="13" t="s">
        <v>69</v>
      </c>
      <c r="H5" s="48">
        <f t="shared" ref="H5:I5" si="4">COUNTIF(H13:H207,"FAILED")</f>
        <v>0</v>
      </c>
      <c r="I5" s="48">
        <f t="shared" si="4"/>
        <v>0</v>
      </c>
      <c r="J5" s="48">
        <f t="shared" ref="J5:K5" si="5">COUNTIF(M14:M198,"FAILED")</f>
        <v>0</v>
      </c>
      <c r="K5" s="48">
        <f t="shared" si="5"/>
        <v>0</v>
      </c>
      <c r="L5" s="48">
        <f t="shared" ref="L5:M5" si="6">COUNTIF(R14:R198,"FAILED")</f>
        <v>0</v>
      </c>
      <c r="M5" s="48">
        <f t="shared" si="6"/>
        <v>0</v>
      </c>
      <c r="N5" s="48">
        <f t="shared" si="7"/>
        <v>0</v>
      </c>
      <c r="O5" s="42"/>
      <c r="P5" s="42"/>
      <c r="Q5" s="42"/>
      <c r="R5" s="42"/>
      <c r="S5" s="42"/>
      <c r="T5" s="42"/>
      <c r="U5" s="42"/>
      <c r="V5" s="42"/>
      <c r="W5" s="41"/>
      <c r="X5" s="41"/>
      <c r="Y5" s="41"/>
      <c r="Z5" s="41"/>
    </row>
    <row r="6" ht="15.75" customHeight="1">
      <c r="A6" s="49"/>
      <c r="B6" s="49"/>
      <c r="C6" s="41"/>
      <c r="D6" s="49"/>
      <c r="E6" s="49"/>
      <c r="F6" s="41"/>
      <c r="G6" s="13" t="s">
        <v>70</v>
      </c>
      <c r="H6" s="48">
        <f t="shared" ref="H6:I6" si="8">COUNTIF(H13:H217,"BLOCKED")</f>
        <v>0</v>
      </c>
      <c r="I6" s="48">
        <f t="shared" si="8"/>
        <v>0</v>
      </c>
      <c r="J6" s="48">
        <f t="shared" ref="J6:K6" si="9">COUNTIF(M15:M199,"BLOCKED")</f>
        <v>0</v>
      </c>
      <c r="K6" s="48">
        <f t="shared" si="9"/>
        <v>0</v>
      </c>
      <c r="L6" s="48">
        <f t="shared" ref="L6:M6" si="10">COUNTIF(R15:R199,"BLOCKED")</f>
        <v>0</v>
      </c>
      <c r="M6" s="48">
        <f t="shared" si="10"/>
        <v>0</v>
      </c>
      <c r="N6" s="48">
        <f t="shared" si="7"/>
        <v>0</v>
      </c>
      <c r="O6" s="42"/>
      <c r="P6" s="42"/>
      <c r="Q6" s="42"/>
      <c r="R6" s="42"/>
      <c r="S6" s="42"/>
      <c r="T6" s="42"/>
      <c r="U6" s="42"/>
      <c r="V6" s="42"/>
      <c r="W6" s="41"/>
      <c r="X6" s="41"/>
      <c r="Y6" s="41"/>
      <c r="Z6" s="41"/>
    </row>
    <row r="7" ht="15.75" customHeight="1">
      <c r="A7" s="49"/>
      <c r="B7" s="49"/>
      <c r="C7" s="41"/>
      <c r="D7" s="49"/>
      <c r="E7" s="49"/>
      <c r="F7" s="41"/>
      <c r="G7" s="13" t="s">
        <v>71</v>
      </c>
      <c r="H7" s="48">
        <f t="shared" ref="H7:I7" si="11">COUNTIF(H13:H227,"NOT RUN")</f>
        <v>0</v>
      </c>
      <c r="I7" s="48">
        <f t="shared" si="11"/>
        <v>0</v>
      </c>
      <c r="J7" s="48">
        <f t="shared" ref="J7:K7" si="12">COUNTIF(M16:M200,"NOT RUN")</f>
        <v>0</v>
      </c>
      <c r="K7" s="48">
        <f t="shared" si="12"/>
        <v>0</v>
      </c>
      <c r="L7" s="48">
        <f t="shared" ref="L7:M7" si="13">COUNTIF(R16:R200,"NOT RUN")</f>
        <v>0</v>
      </c>
      <c r="M7" s="48">
        <f t="shared" si="13"/>
        <v>0</v>
      </c>
      <c r="N7" s="48">
        <f t="shared" si="7"/>
        <v>0</v>
      </c>
      <c r="O7" s="42"/>
      <c r="P7" s="42"/>
      <c r="Q7" s="42"/>
      <c r="R7" s="42"/>
      <c r="S7" s="42"/>
      <c r="T7" s="42"/>
      <c r="U7" s="42"/>
      <c r="V7" s="42"/>
      <c r="W7" s="41"/>
      <c r="X7" s="41"/>
      <c r="Y7" s="41"/>
      <c r="Z7" s="41"/>
    </row>
    <row r="8" ht="15.75" customHeight="1">
      <c r="A8" s="49"/>
      <c r="B8" s="49"/>
      <c r="C8" s="41"/>
      <c r="D8" s="49"/>
      <c r="E8" s="49"/>
      <c r="F8" s="41"/>
      <c r="G8" s="13" t="s">
        <v>72</v>
      </c>
      <c r="H8" s="48">
        <f t="shared" ref="H8:M8" si="14">COUNTA($G13:$G209)</f>
        <v>6</v>
      </c>
      <c r="I8" s="48">
        <f t="shared" si="14"/>
        <v>6</v>
      </c>
      <c r="J8" s="48">
        <f t="shared" si="14"/>
        <v>6</v>
      </c>
      <c r="K8" s="48">
        <f t="shared" si="14"/>
        <v>6</v>
      </c>
      <c r="L8" s="48">
        <f t="shared" si="14"/>
        <v>6</v>
      </c>
      <c r="M8" s="48">
        <f t="shared" si="14"/>
        <v>6</v>
      </c>
      <c r="N8" s="48">
        <f t="shared" si="7"/>
        <v>36</v>
      </c>
      <c r="O8" s="42"/>
      <c r="P8" s="42"/>
      <c r="Q8" s="42"/>
      <c r="R8" s="42"/>
      <c r="S8" s="42"/>
      <c r="T8" s="42"/>
      <c r="U8" s="42"/>
      <c r="V8" s="42"/>
      <c r="W8" s="41"/>
      <c r="X8" s="41"/>
      <c r="Y8" s="41"/>
      <c r="Z8" s="41"/>
    </row>
    <row r="9" ht="15.75" customHeight="1">
      <c r="A9" s="43"/>
      <c r="B9" s="41"/>
      <c r="C9" s="41"/>
      <c r="D9" s="41"/>
      <c r="E9" s="41"/>
      <c r="F9" s="41"/>
      <c r="G9" s="41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1"/>
      <c r="X9" s="41"/>
      <c r="Y9" s="41"/>
      <c r="Z9" s="41"/>
    </row>
    <row r="10" ht="15.75" customHeight="1">
      <c r="A10" s="28" t="s">
        <v>20</v>
      </c>
      <c r="B10" s="28" t="s">
        <v>73</v>
      </c>
      <c r="C10" s="28" t="s">
        <v>74</v>
      </c>
      <c r="D10" s="28" t="s">
        <v>75</v>
      </c>
      <c r="E10" s="28" t="s">
        <v>76</v>
      </c>
      <c r="F10" s="28" t="s">
        <v>77</v>
      </c>
      <c r="G10" s="28" t="s">
        <v>78</v>
      </c>
      <c r="H10" s="29" t="s">
        <v>45</v>
      </c>
      <c r="I10" s="30"/>
      <c r="J10" s="30"/>
      <c r="K10" s="30"/>
      <c r="L10" s="6"/>
      <c r="M10" s="29" t="s">
        <v>46</v>
      </c>
      <c r="N10" s="30"/>
      <c r="O10" s="30"/>
      <c r="P10" s="30"/>
      <c r="Q10" s="6"/>
      <c r="R10" s="29" t="s">
        <v>47</v>
      </c>
      <c r="S10" s="30"/>
      <c r="T10" s="30"/>
      <c r="U10" s="30"/>
      <c r="V10" s="6"/>
      <c r="W10" s="28" t="s">
        <v>27</v>
      </c>
      <c r="X10" s="12"/>
      <c r="Y10" s="12"/>
      <c r="Z10" s="12"/>
    </row>
    <row r="11" ht="19.5" customHeight="1">
      <c r="A11" s="32"/>
      <c r="B11" s="32"/>
      <c r="C11" s="32"/>
      <c r="D11" s="32"/>
      <c r="E11" s="32"/>
      <c r="F11" s="32"/>
      <c r="G11" s="32"/>
      <c r="H11" s="29" t="s">
        <v>79</v>
      </c>
      <c r="I11" s="30"/>
      <c r="J11" s="6"/>
      <c r="K11" s="28" t="s">
        <v>80</v>
      </c>
      <c r="L11" s="28" t="s">
        <v>81</v>
      </c>
      <c r="M11" s="29" t="s">
        <v>79</v>
      </c>
      <c r="N11" s="30"/>
      <c r="O11" s="6"/>
      <c r="P11" s="28" t="s">
        <v>80</v>
      </c>
      <c r="Q11" s="28" t="s">
        <v>81</v>
      </c>
      <c r="R11" s="29" t="s">
        <v>79</v>
      </c>
      <c r="S11" s="30"/>
      <c r="T11" s="6"/>
      <c r="U11" s="28" t="s">
        <v>80</v>
      </c>
      <c r="V11" s="28" t="s">
        <v>81</v>
      </c>
      <c r="W11" s="32"/>
      <c r="X11" s="41"/>
      <c r="Y11" s="41"/>
      <c r="Z11" s="41"/>
    </row>
    <row r="12" ht="22.5" customHeight="1">
      <c r="A12" s="34"/>
      <c r="B12" s="34"/>
      <c r="C12" s="34"/>
      <c r="D12" s="34"/>
      <c r="E12" s="34"/>
      <c r="F12" s="34"/>
      <c r="G12" s="34"/>
      <c r="H12" s="45" t="s">
        <v>48</v>
      </c>
      <c r="I12" s="45" t="s">
        <v>49</v>
      </c>
      <c r="J12" s="13" t="s">
        <v>82</v>
      </c>
      <c r="K12" s="34"/>
      <c r="L12" s="34"/>
      <c r="M12" s="45" t="s">
        <v>48</v>
      </c>
      <c r="N12" s="45" t="s">
        <v>49</v>
      </c>
      <c r="O12" s="13" t="s">
        <v>82</v>
      </c>
      <c r="P12" s="34"/>
      <c r="Q12" s="34"/>
      <c r="R12" s="45" t="s">
        <v>48</v>
      </c>
      <c r="S12" s="45" t="s">
        <v>49</v>
      </c>
      <c r="T12" s="13" t="s">
        <v>82</v>
      </c>
      <c r="U12" s="34"/>
      <c r="V12" s="34"/>
      <c r="W12" s="34"/>
      <c r="X12" s="41"/>
      <c r="Y12" s="41"/>
      <c r="Z12" s="41"/>
    </row>
    <row r="13">
      <c r="A13" s="17" t="str">
        <f t="shared" ref="A13:A18" si="15">"ID-00"&amp;(ROW()-(ROW($A$12)))</f>
        <v>ID-001</v>
      </c>
      <c r="B13" s="19" t="s">
        <v>83</v>
      </c>
      <c r="C13" s="17" t="s">
        <v>52</v>
      </c>
      <c r="D13" s="19" t="s">
        <v>84</v>
      </c>
      <c r="E13" s="19" t="s">
        <v>85</v>
      </c>
      <c r="F13" s="22" t="s">
        <v>86</v>
      </c>
      <c r="G13" s="22" t="s">
        <v>87</v>
      </c>
      <c r="H13" s="16" t="s">
        <v>50</v>
      </c>
      <c r="I13" s="21" t="s">
        <v>50</v>
      </c>
      <c r="J13" s="21" t="s">
        <v>88</v>
      </c>
      <c r="K13" s="35" t="s">
        <v>89</v>
      </c>
      <c r="L13" s="21" t="s">
        <v>90</v>
      </c>
      <c r="M13" s="21" t="s">
        <v>50</v>
      </c>
      <c r="N13" s="21" t="s">
        <v>50</v>
      </c>
      <c r="O13" s="21" t="s">
        <v>88</v>
      </c>
      <c r="P13" s="35" t="s">
        <v>91</v>
      </c>
      <c r="Q13" s="21" t="s">
        <v>90</v>
      </c>
      <c r="R13" s="21" t="s">
        <v>50</v>
      </c>
      <c r="S13" s="21" t="s">
        <v>50</v>
      </c>
      <c r="T13" s="21" t="s">
        <v>88</v>
      </c>
      <c r="U13" s="35" t="s">
        <v>53</v>
      </c>
      <c r="V13" s="21" t="s">
        <v>90</v>
      </c>
      <c r="W13" s="21" t="s">
        <v>92</v>
      </c>
      <c r="X13" s="41"/>
      <c r="Y13" s="41"/>
      <c r="Z13" s="41"/>
    </row>
    <row r="14">
      <c r="A14" s="17" t="str">
        <f t="shared" si="15"/>
        <v>ID-002</v>
      </c>
      <c r="B14" s="19" t="s">
        <v>83</v>
      </c>
      <c r="C14" s="17" t="s">
        <v>52</v>
      </c>
      <c r="D14" s="19" t="s">
        <v>84</v>
      </c>
      <c r="E14" s="22" t="s">
        <v>93</v>
      </c>
      <c r="F14" s="22" t="s">
        <v>94</v>
      </c>
      <c r="G14" s="22" t="s">
        <v>95</v>
      </c>
      <c r="H14" s="21" t="s">
        <v>50</v>
      </c>
      <c r="I14" s="21" t="s">
        <v>50</v>
      </c>
      <c r="J14" s="21" t="s">
        <v>88</v>
      </c>
      <c r="K14" s="35" t="s">
        <v>89</v>
      </c>
      <c r="L14" s="21" t="s">
        <v>90</v>
      </c>
      <c r="M14" s="21" t="s">
        <v>50</v>
      </c>
      <c r="N14" s="21" t="s">
        <v>50</v>
      </c>
      <c r="O14" s="21" t="s">
        <v>88</v>
      </c>
      <c r="P14" s="35" t="s">
        <v>91</v>
      </c>
      <c r="Q14" s="21" t="s">
        <v>90</v>
      </c>
      <c r="R14" s="21" t="s">
        <v>50</v>
      </c>
      <c r="S14" s="21" t="s">
        <v>50</v>
      </c>
      <c r="T14" s="21" t="s">
        <v>88</v>
      </c>
      <c r="U14" s="35" t="s">
        <v>53</v>
      </c>
      <c r="V14" s="21" t="s">
        <v>90</v>
      </c>
      <c r="W14" s="21" t="s">
        <v>92</v>
      </c>
      <c r="X14" s="41"/>
      <c r="Y14" s="41"/>
      <c r="Z14" s="41"/>
    </row>
    <row r="15">
      <c r="A15" s="17" t="str">
        <f t="shared" si="15"/>
        <v>ID-003</v>
      </c>
      <c r="B15" s="19" t="s">
        <v>83</v>
      </c>
      <c r="C15" s="17" t="s">
        <v>52</v>
      </c>
      <c r="D15" s="19" t="s">
        <v>84</v>
      </c>
      <c r="E15" s="22" t="s">
        <v>96</v>
      </c>
      <c r="F15" s="22" t="s">
        <v>97</v>
      </c>
      <c r="G15" s="22" t="s">
        <v>98</v>
      </c>
      <c r="H15" s="21" t="s">
        <v>50</v>
      </c>
      <c r="I15" s="21" t="s">
        <v>50</v>
      </c>
      <c r="J15" s="21" t="s">
        <v>88</v>
      </c>
      <c r="K15" s="35" t="s">
        <v>89</v>
      </c>
      <c r="L15" s="21" t="s">
        <v>90</v>
      </c>
      <c r="M15" s="21" t="s">
        <v>50</v>
      </c>
      <c r="N15" s="21" t="s">
        <v>50</v>
      </c>
      <c r="O15" s="21" t="s">
        <v>88</v>
      </c>
      <c r="P15" s="35" t="s">
        <v>91</v>
      </c>
      <c r="Q15" s="21" t="s">
        <v>90</v>
      </c>
      <c r="R15" s="21" t="s">
        <v>50</v>
      </c>
      <c r="S15" s="21" t="s">
        <v>50</v>
      </c>
      <c r="T15" s="21" t="s">
        <v>88</v>
      </c>
      <c r="U15" s="35" t="s">
        <v>53</v>
      </c>
      <c r="V15" s="21" t="s">
        <v>90</v>
      </c>
      <c r="W15" s="21" t="s">
        <v>92</v>
      </c>
      <c r="X15" s="41"/>
      <c r="Y15" s="41"/>
      <c r="Z15" s="41"/>
    </row>
    <row r="16">
      <c r="A16" s="17" t="str">
        <f t="shared" si="15"/>
        <v>ID-004</v>
      </c>
      <c r="B16" s="19" t="s">
        <v>83</v>
      </c>
      <c r="C16" s="17" t="s">
        <v>52</v>
      </c>
      <c r="D16" s="19" t="s">
        <v>84</v>
      </c>
      <c r="E16" s="22" t="s">
        <v>99</v>
      </c>
      <c r="F16" s="22" t="s">
        <v>100</v>
      </c>
      <c r="G16" s="22" t="s">
        <v>98</v>
      </c>
      <c r="H16" s="21" t="s">
        <v>50</v>
      </c>
      <c r="I16" s="16" t="s">
        <v>50</v>
      </c>
      <c r="J16" s="21" t="s">
        <v>88</v>
      </c>
      <c r="K16" s="35" t="s">
        <v>89</v>
      </c>
      <c r="L16" s="21" t="s">
        <v>90</v>
      </c>
      <c r="M16" s="21" t="s">
        <v>50</v>
      </c>
      <c r="N16" s="21" t="s">
        <v>50</v>
      </c>
      <c r="O16" s="21" t="s">
        <v>88</v>
      </c>
      <c r="P16" s="35" t="s">
        <v>91</v>
      </c>
      <c r="Q16" s="21" t="s">
        <v>90</v>
      </c>
      <c r="R16" s="21" t="s">
        <v>50</v>
      </c>
      <c r="S16" s="21" t="s">
        <v>50</v>
      </c>
      <c r="T16" s="21" t="s">
        <v>88</v>
      </c>
      <c r="U16" s="35" t="s">
        <v>53</v>
      </c>
      <c r="V16" s="21" t="s">
        <v>90</v>
      </c>
      <c r="W16" s="21" t="s">
        <v>92</v>
      </c>
      <c r="X16" s="41"/>
      <c r="Y16" s="41"/>
      <c r="Z16" s="41"/>
    </row>
    <row r="17">
      <c r="A17" s="17" t="str">
        <f t="shared" si="15"/>
        <v>ID-005</v>
      </c>
      <c r="B17" s="22" t="s">
        <v>101</v>
      </c>
      <c r="C17" s="20" t="s">
        <v>102</v>
      </c>
      <c r="D17" s="19" t="s">
        <v>84</v>
      </c>
      <c r="E17" s="22" t="s">
        <v>103</v>
      </c>
      <c r="F17" s="22" t="s">
        <v>104</v>
      </c>
      <c r="G17" s="22" t="s">
        <v>105</v>
      </c>
      <c r="H17" s="21" t="s">
        <v>50</v>
      </c>
      <c r="I17" s="21" t="s">
        <v>50</v>
      </c>
      <c r="J17" s="21" t="s">
        <v>88</v>
      </c>
      <c r="K17" s="35" t="s">
        <v>89</v>
      </c>
      <c r="L17" s="21" t="s">
        <v>90</v>
      </c>
      <c r="M17" s="21" t="s">
        <v>50</v>
      </c>
      <c r="N17" s="21" t="s">
        <v>50</v>
      </c>
      <c r="O17" s="21" t="s">
        <v>88</v>
      </c>
      <c r="P17" s="35" t="s">
        <v>91</v>
      </c>
      <c r="Q17" s="21" t="s">
        <v>90</v>
      </c>
      <c r="R17" s="21" t="s">
        <v>50</v>
      </c>
      <c r="S17" s="21" t="s">
        <v>50</v>
      </c>
      <c r="T17" s="21" t="s">
        <v>88</v>
      </c>
      <c r="U17" s="35" t="s">
        <v>53</v>
      </c>
      <c r="V17" s="21" t="s">
        <v>90</v>
      </c>
      <c r="W17" s="21" t="s">
        <v>92</v>
      </c>
      <c r="X17" s="41"/>
      <c r="Y17" s="41"/>
      <c r="Z17" s="41"/>
    </row>
    <row r="18">
      <c r="A18" s="17" t="str">
        <f t="shared" si="15"/>
        <v>ID-006</v>
      </c>
      <c r="B18" s="22" t="s">
        <v>101</v>
      </c>
      <c r="C18" s="20" t="s">
        <v>106</v>
      </c>
      <c r="D18" s="19" t="s">
        <v>84</v>
      </c>
      <c r="E18" s="22" t="s">
        <v>107</v>
      </c>
      <c r="F18" s="22" t="s">
        <v>108</v>
      </c>
      <c r="G18" s="22" t="s">
        <v>109</v>
      </c>
      <c r="H18" s="21" t="s">
        <v>50</v>
      </c>
      <c r="I18" s="21" t="s">
        <v>50</v>
      </c>
      <c r="J18" s="21" t="s">
        <v>88</v>
      </c>
      <c r="K18" s="35" t="s">
        <v>89</v>
      </c>
      <c r="L18" s="21" t="s">
        <v>90</v>
      </c>
      <c r="M18" s="21" t="s">
        <v>50</v>
      </c>
      <c r="N18" s="21" t="s">
        <v>50</v>
      </c>
      <c r="O18" s="21" t="s">
        <v>88</v>
      </c>
      <c r="P18" s="35" t="s">
        <v>91</v>
      </c>
      <c r="Q18" s="21" t="s">
        <v>90</v>
      </c>
      <c r="R18" s="21" t="s">
        <v>50</v>
      </c>
      <c r="S18" s="21" t="s">
        <v>50</v>
      </c>
      <c r="T18" s="21" t="s">
        <v>88</v>
      </c>
      <c r="U18" s="23">
        <v>46084.0</v>
      </c>
      <c r="V18" s="21" t="s">
        <v>90</v>
      </c>
      <c r="W18" s="21" t="s">
        <v>92</v>
      </c>
      <c r="X18" s="41"/>
      <c r="Y18" s="41"/>
      <c r="Z18" s="41"/>
    </row>
    <row r="19" ht="15.75" customHeight="1">
      <c r="A19" s="43"/>
      <c r="B19" s="41"/>
      <c r="C19" s="41"/>
      <c r="D19" s="41"/>
      <c r="E19" s="41"/>
      <c r="F19" s="41"/>
      <c r="G19" s="41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1"/>
      <c r="X19" s="41"/>
      <c r="Y19" s="41"/>
      <c r="Z19" s="41"/>
    </row>
    <row r="20" ht="15.75" customHeight="1">
      <c r="A20" s="43"/>
      <c r="B20" s="41"/>
      <c r="C20" s="41"/>
      <c r="D20" s="41"/>
      <c r="E20" s="41"/>
      <c r="F20" s="41"/>
      <c r="G20" s="41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1"/>
      <c r="X20" s="41"/>
      <c r="Y20" s="41"/>
      <c r="Z20" s="41"/>
    </row>
    <row r="21" ht="15.75" customHeight="1">
      <c r="A21" s="43"/>
      <c r="B21" s="41"/>
      <c r="C21" s="41"/>
      <c r="D21" s="41"/>
      <c r="E21" s="41"/>
      <c r="F21" s="41"/>
      <c r="G21" s="41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1"/>
      <c r="X21" s="41"/>
      <c r="Y21" s="41"/>
      <c r="Z21" s="41"/>
    </row>
    <row r="22" ht="15.75" customHeight="1">
      <c r="A22" s="43"/>
      <c r="B22" s="41"/>
      <c r="C22" s="41"/>
      <c r="D22" s="41"/>
      <c r="E22" s="41"/>
      <c r="F22" s="41"/>
      <c r="G22" s="41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1"/>
      <c r="X22" s="41"/>
      <c r="Y22" s="41"/>
      <c r="Z22" s="41"/>
    </row>
    <row r="23" ht="15.75" customHeight="1">
      <c r="A23" s="43"/>
      <c r="B23" s="41"/>
      <c r="C23" s="41"/>
      <c r="D23" s="41"/>
      <c r="E23" s="41"/>
      <c r="F23" s="41"/>
      <c r="G23" s="41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1"/>
      <c r="X23" s="41"/>
      <c r="Y23" s="41"/>
      <c r="Z23" s="41"/>
    </row>
    <row r="24" ht="15.75" customHeight="1">
      <c r="A24" s="43"/>
      <c r="B24" s="41"/>
      <c r="C24" s="41"/>
      <c r="D24" s="41"/>
      <c r="E24" s="41"/>
      <c r="F24" s="41"/>
      <c r="G24" s="41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1"/>
      <c r="X24" s="41"/>
      <c r="Y24" s="41"/>
      <c r="Z24" s="41"/>
    </row>
    <row r="25" ht="15.75" customHeight="1">
      <c r="A25" s="43"/>
      <c r="B25" s="41"/>
      <c r="C25" s="41"/>
      <c r="D25" s="41"/>
      <c r="E25" s="41"/>
      <c r="F25" s="41"/>
      <c r="G25" s="41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1"/>
      <c r="X25" s="41"/>
      <c r="Y25" s="41"/>
      <c r="Z25" s="41"/>
    </row>
    <row r="26" ht="15.75" customHeight="1">
      <c r="A26" s="43"/>
      <c r="B26" s="41"/>
      <c r="C26" s="41"/>
      <c r="D26" s="41"/>
      <c r="E26" s="41"/>
      <c r="F26" s="41"/>
      <c r="G26" s="41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1"/>
      <c r="X26" s="41"/>
      <c r="Y26" s="41"/>
      <c r="Z26" s="41"/>
    </row>
    <row r="27" ht="15.75" customHeight="1">
      <c r="A27" s="43"/>
      <c r="B27" s="41"/>
      <c r="C27" s="41"/>
      <c r="D27" s="41"/>
      <c r="E27" s="41"/>
      <c r="F27" s="41"/>
      <c r="G27" s="41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1"/>
      <c r="X27" s="41"/>
      <c r="Y27" s="41"/>
      <c r="Z27" s="41"/>
    </row>
    <row r="28" ht="15.75" customHeight="1">
      <c r="A28" s="43"/>
      <c r="B28" s="41"/>
      <c r="C28" s="41"/>
      <c r="D28" s="41"/>
      <c r="E28" s="41"/>
      <c r="F28" s="41"/>
      <c r="G28" s="41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1"/>
      <c r="X28" s="41"/>
      <c r="Y28" s="41"/>
      <c r="Z28" s="41"/>
    </row>
    <row r="29" ht="15.75" customHeight="1">
      <c r="A29" s="43"/>
      <c r="B29" s="41"/>
      <c r="C29" s="41"/>
      <c r="D29" s="41"/>
      <c r="E29" s="41"/>
      <c r="F29" s="41"/>
      <c r="G29" s="41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1"/>
      <c r="X29" s="41"/>
      <c r="Y29" s="41"/>
      <c r="Z29" s="41"/>
    </row>
    <row r="30" ht="15.75" customHeight="1">
      <c r="A30" s="43"/>
      <c r="B30" s="41"/>
      <c r="C30" s="41"/>
      <c r="D30" s="41"/>
      <c r="E30" s="41"/>
      <c r="F30" s="41"/>
      <c r="G30" s="41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1"/>
      <c r="X30" s="41"/>
      <c r="Y30" s="41"/>
      <c r="Z30" s="41"/>
    </row>
    <row r="31" ht="15.75" customHeight="1">
      <c r="A31" s="43"/>
      <c r="B31" s="41"/>
      <c r="C31" s="41"/>
      <c r="D31" s="41"/>
      <c r="E31" s="41"/>
      <c r="F31" s="41"/>
      <c r="G31" s="4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1"/>
      <c r="X31" s="41"/>
      <c r="Y31" s="41"/>
      <c r="Z31" s="41"/>
    </row>
    <row r="32" ht="15.75" customHeight="1">
      <c r="A32" s="43"/>
      <c r="B32" s="41"/>
      <c r="C32" s="41"/>
      <c r="D32" s="41"/>
      <c r="E32" s="41"/>
      <c r="F32" s="41"/>
      <c r="G32" s="41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1"/>
      <c r="X32" s="41"/>
      <c r="Y32" s="41"/>
      <c r="Z32" s="41"/>
    </row>
    <row r="33" ht="15.75" customHeight="1">
      <c r="A33" s="43"/>
      <c r="B33" s="41"/>
      <c r="C33" s="41"/>
      <c r="D33" s="41"/>
      <c r="E33" s="41"/>
      <c r="F33" s="41"/>
      <c r="G33" s="41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1"/>
      <c r="X33" s="41"/>
      <c r="Y33" s="41"/>
      <c r="Z33" s="41"/>
    </row>
    <row r="34" ht="15.75" customHeight="1">
      <c r="A34" s="43"/>
      <c r="B34" s="41"/>
      <c r="C34" s="41"/>
      <c r="D34" s="41"/>
      <c r="E34" s="41"/>
      <c r="F34" s="41"/>
      <c r="G34" s="41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1"/>
      <c r="X34" s="41"/>
      <c r="Y34" s="41"/>
      <c r="Z34" s="41"/>
    </row>
    <row r="35" ht="15.75" customHeight="1">
      <c r="A35" s="43"/>
      <c r="B35" s="41"/>
      <c r="C35" s="41"/>
      <c r="D35" s="41"/>
      <c r="E35" s="41"/>
      <c r="F35" s="41"/>
      <c r="G35" s="41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1"/>
      <c r="X35" s="41"/>
      <c r="Y35" s="41"/>
      <c r="Z35" s="41"/>
    </row>
    <row r="36" ht="15.75" customHeight="1">
      <c r="A36" s="43"/>
      <c r="B36" s="41"/>
      <c r="C36" s="41"/>
      <c r="D36" s="41"/>
      <c r="E36" s="41"/>
      <c r="F36" s="41"/>
      <c r="G36" s="41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1"/>
      <c r="X36" s="41"/>
      <c r="Y36" s="41"/>
      <c r="Z36" s="41"/>
    </row>
    <row r="37" ht="15.75" customHeight="1">
      <c r="A37" s="43"/>
      <c r="B37" s="41"/>
      <c r="C37" s="41"/>
      <c r="D37" s="41"/>
      <c r="E37" s="41"/>
      <c r="F37" s="41"/>
      <c r="G37" s="41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1"/>
      <c r="X37" s="41"/>
      <c r="Y37" s="41"/>
      <c r="Z37" s="41"/>
    </row>
    <row r="38" ht="15.75" customHeight="1">
      <c r="A38" s="43"/>
      <c r="B38" s="41"/>
      <c r="C38" s="41"/>
      <c r="D38" s="41"/>
      <c r="E38" s="41"/>
      <c r="F38" s="41"/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1"/>
      <c r="X38" s="41"/>
      <c r="Y38" s="41"/>
      <c r="Z38" s="41"/>
    </row>
    <row r="39" ht="15.75" customHeight="1">
      <c r="A39" s="43"/>
      <c r="B39" s="41"/>
      <c r="C39" s="41"/>
      <c r="D39" s="41"/>
      <c r="E39" s="41"/>
      <c r="F39" s="41"/>
      <c r="G39" s="41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1"/>
      <c r="X39" s="41"/>
      <c r="Y39" s="41"/>
      <c r="Z39" s="41"/>
    </row>
    <row r="40" ht="15.75" customHeight="1">
      <c r="A40" s="43"/>
      <c r="B40" s="41"/>
      <c r="C40" s="41"/>
      <c r="D40" s="41"/>
      <c r="E40" s="41"/>
      <c r="F40" s="41"/>
      <c r="G40" s="41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1"/>
      <c r="X40" s="41"/>
      <c r="Y40" s="41"/>
      <c r="Z40" s="41"/>
    </row>
    <row r="41" ht="15.75" customHeight="1">
      <c r="A41" s="43"/>
      <c r="B41" s="41"/>
      <c r="C41" s="41"/>
      <c r="D41" s="41"/>
      <c r="E41" s="4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1"/>
      <c r="X41" s="41"/>
      <c r="Y41" s="41"/>
      <c r="Z41" s="41"/>
    </row>
    <row r="42" ht="15.75" customHeight="1">
      <c r="A42" s="43"/>
      <c r="B42" s="41"/>
      <c r="C42" s="41"/>
      <c r="D42" s="41"/>
      <c r="E42" s="41"/>
      <c r="F42" s="41"/>
      <c r="G42" s="41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1"/>
      <c r="X42" s="41"/>
      <c r="Y42" s="41"/>
      <c r="Z42" s="41"/>
    </row>
    <row r="43" ht="15.75" customHeight="1">
      <c r="A43" s="43"/>
      <c r="B43" s="41"/>
      <c r="C43" s="41"/>
      <c r="D43" s="41"/>
      <c r="E43" s="41"/>
      <c r="F43" s="41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1"/>
      <c r="X43" s="41"/>
      <c r="Y43" s="41"/>
      <c r="Z43" s="41"/>
    </row>
    <row r="44" ht="15.75" customHeight="1">
      <c r="A44" s="43"/>
      <c r="B44" s="41"/>
      <c r="C44" s="41"/>
      <c r="D44" s="41"/>
      <c r="E44" s="41"/>
      <c r="F44" s="41"/>
      <c r="G44" s="41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1"/>
      <c r="X44" s="41"/>
      <c r="Y44" s="41"/>
      <c r="Z44" s="41"/>
    </row>
    <row r="45" ht="15.75" customHeight="1">
      <c r="A45" s="43"/>
      <c r="B45" s="41"/>
      <c r="C45" s="41"/>
      <c r="D45" s="41"/>
      <c r="E45" s="4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1"/>
      <c r="X45" s="41"/>
      <c r="Y45" s="41"/>
      <c r="Z45" s="41"/>
    </row>
    <row r="46" ht="15.75" customHeight="1">
      <c r="A46" s="43"/>
      <c r="B46" s="41"/>
      <c r="C46" s="41"/>
      <c r="D46" s="41"/>
      <c r="E46" s="41"/>
      <c r="F46" s="41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1"/>
      <c r="X46" s="41"/>
      <c r="Y46" s="41"/>
      <c r="Z46" s="41"/>
    </row>
    <row r="47" ht="15.75" customHeight="1">
      <c r="A47" s="43"/>
      <c r="B47" s="41"/>
      <c r="C47" s="41"/>
      <c r="D47" s="41"/>
      <c r="E47" s="41"/>
      <c r="F47" s="41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1"/>
      <c r="X47" s="41"/>
      <c r="Y47" s="41"/>
      <c r="Z47" s="41"/>
    </row>
    <row r="48" ht="15.75" customHeight="1">
      <c r="A48" s="43"/>
      <c r="B48" s="41"/>
      <c r="C48" s="41"/>
      <c r="D48" s="41"/>
      <c r="E48" s="41"/>
      <c r="F48" s="41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1"/>
      <c r="X48" s="41"/>
      <c r="Y48" s="41"/>
      <c r="Z48" s="41"/>
    </row>
    <row r="49" ht="15.75" customHeight="1">
      <c r="A49" s="43"/>
      <c r="B49" s="41"/>
      <c r="C49" s="41"/>
      <c r="D49" s="41"/>
      <c r="E49" s="41"/>
      <c r="F49" s="41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1"/>
      <c r="X49" s="41"/>
      <c r="Y49" s="41"/>
      <c r="Z49" s="41"/>
    </row>
    <row r="50" ht="15.75" customHeight="1">
      <c r="A50" s="43"/>
      <c r="B50" s="41"/>
      <c r="C50" s="41"/>
      <c r="D50" s="41"/>
      <c r="E50" s="41"/>
      <c r="F50" s="41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1"/>
      <c r="X50" s="41"/>
      <c r="Y50" s="41"/>
      <c r="Z50" s="41"/>
    </row>
    <row r="51" ht="15.75" customHeight="1">
      <c r="A51" s="43"/>
      <c r="B51" s="41"/>
      <c r="C51" s="41"/>
      <c r="D51" s="41"/>
      <c r="E51" s="41"/>
      <c r="F51" s="41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1"/>
      <c r="X51" s="41"/>
      <c r="Y51" s="41"/>
      <c r="Z51" s="41"/>
    </row>
    <row r="52" ht="15.75" customHeight="1">
      <c r="A52" s="43"/>
      <c r="B52" s="41"/>
      <c r="C52" s="41"/>
      <c r="D52" s="41"/>
      <c r="E52" s="41"/>
      <c r="F52" s="41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1"/>
      <c r="X52" s="41"/>
      <c r="Y52" s="41"/>
      <c r="Z52" s="41"/>
    </row>
    <row r="53" ht="15.75" customHeight="1">
      <c r="A53" s="43"/>
      <c r="B53" s="41"/>
      <c r="C53" s="41"/>
      <c r="D53" s="41"/>
      <c r="E53" s="41"/>
      <c r="F53" s="41"/>
      <c r="G53" s="41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1"/>
      <c r="X53" s="41"/>
      <c r="Y53" s="41"/>
      <c r="Z53" s="41"/>
    </row>
    <row r="54" ht="15.75" customHeight="1">
      <c r="A54" s="43"/>
      <c r="B54" s="41"/>
      <c r="C54" s="41"/>
      <c r="D54" s="41"/>
      <c r="E54" s="41"/>
      <c r="F54" s="41"/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1"/>
      <c r="X54" s="41"/>
      <c r="Y54" s="41"/>
      <c r="Z54" s="41"/>
    </row>
    <row r="55" ht="15.75" customHeight="1">
      <c r="A55" s="43"/>
      <c r="B55" s="41"/>
      <c r="C55" s="41"/>
      <c r="D55" s="41"/>
      <c r="E55" s="41"/>
      <c r="F55" s="41"/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1"/>
      <c r="X55" s="41"/>
      <c r="Y55" s="41"/>
      <c r="Z55" s="41"/>
    </row>
    <row r="56" ht="15.75" customHeight="1">
      <c r="A56" s="43"/>
      <c r="B56" s="41"/>
      <c r="C56" s="41"/>
      <c r="D56" s="41"/>
      <c r="E56" s="41"/>
      <c r="F56" s="41"/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1"/>
      <c r="X56" s="41"/>
      <c r="Y56" s="41"/>
      <c r="Z56" s="41"/>
    </row>
    <row r="57" ht="15.75" customHeight="1">
      <c r="A57" s="43"/>
      <c r="B57" s="41"/>
      <c r="C57" s="41"/>
      <c r="D57" s="41"/>
      <c r="E57" s="4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1"/>
      <c r="X57" s="41"/>
      <c r="Y57" s="41"/>
      <c r="Z57" s="41"/>
    </row>
    <row r="58" ht="15.75" customHeight="1">
      <c r="A58" s="43"/>
      <c r="B58" s="41"/>
      <c r="C58" s="41"/>
      <c r="D58" s="41"/>
      <c r="E58" s="41"/>
      <c r="F58" s="41"/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1"/>
      <c r="X58" s="41"/>
      <c r="Y58" s="41"/>
      <c r="Z58" s="41"/>
    </row>
    <row r="59" ht="15.75" customHeight="1">
      <c r="A59" s="43"/>
      <c r="B59" s="41"/>
      <c r="C59" s="41"/>
      <c r="D59" s="41"/>
      <c r="E59" s="41"/>
      <c r="F59" s="41"/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1"/>
      <c r="X59" s="41"/>
      <c r="Y59" s="41"/>
      <c r="Z59" s="41"/>
    </row>
    <row r="60" ht="15.75" customHeight="1">
      <c r="A60" s="43"/>
      <c r="B60" s="41"/>
      <c r="C60" s="41"/>
      <c r="D60" s="41"/>
      <c r="E60" s="41"/>
      <c r="F60" s="41"/>
      <c r="G60" s="41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1"/>
      <c r="X60" s="41"/>
      <c r="Y60" s="41"/>
      <c r="Z60" s="41"/>
    </row>
    <row r="61" ht="15.75" customHeight="1">
      <c r="A61" s="43"/>
      <c r="B61" s="41"/>
      <c r="C61" s="41"/>
      <c r="D61" s="41"/>
      <c r="E61" s="41"/>
      <c r="F61" s="41"/>
      <c r="G61" s="41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1"/>
      <c r="X61" s="41"/>
      <c r="Y61" s="41"/>
      <c r="Z61" s="41"/>
    </row>
    <row r="62" ht="15.75" customHeight="1">
      <c r="A62" s="43"/>
      <c r="B62" s="41"/>
      <c r="C62" s="41"/>
      <c r="D62" s="41"/>
      <c r="E62" s="41"/>
      <c r="F62" s="41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1"/>
      <c r="X62" s="41"/>
      <c r="Y62" s="41"/>
      <c r="Z62" s="41"/>
    </row>
    <row r="63" ht="15.75" customHeight="1">
      <c r="A63" s="43"/>
      <c r="B63" s="41"/>
      <c r="C63" s="41"/>
      <c r="D63" s="41"/>
      <c r="E63" s="41"/>
      <c r="F63" s="41"/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1"/>
      <c r="X63" s="41"/>
      <c r="Y63" s="41"/>
      <c r="Z63" s="41"/>
    </row>
    <row r="64" ht="15.75" customHeight="1">
      <c r="A64" s="43"/>
      <c r="B64" s="41"/>
      <c r="C64" s="41"/>
      <c r="D64" s="41"/>
      <c r="E64" s="41"/>
      <c r="F64" s="41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1"/>
      <c r="X64" s="41"/>
      <c r="Y64" s="41"/>
      <c r="Z64" s="41"/>
    </row>
    <row r="65" ht="15.75" customHeight="1">
      <c r="A65" s="43"/>
      <c r="B65" s="41"/>
      <c r="C65" s="41"/>
      <c r="D65" s="41"/>
      <c r="E65" s="41"/>
      <c r="F65" s="41"/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1"/>
      <c r="X65" s="41"/>
      <c r="Y65" s="41"/>
      <c r="Z65" s="41"/>
    </row>
    <row r="66" ht="15.75" customHeight="1">
      <c r="A66" s="43"/>
      <c r="B66" s="41"/>
      <c r="C66" s="41"/>
      <c r="D66" s="41"/>
      <c r="E66" s="4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1"/>
      <c r="X66" s="41"/>
      <c r="Y66" s="41"/>
      <c r="Z66" s="41"/>
    </row>
    <row r="67" ht="15.75" customHeight="1">
      <c r="A67" s="43"/>
      <c r="B67" s="41"/>
      <c r="C67" s="41"/>
      <c r="D67" s="41"/>
      <c r="E67" s="41"/>
      <c r="F67" s="41"/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1"/>
      <c r="X67" s="41"/>
      <c r="Y67" s="41"/>
      <c r="Z67" s="41"/>
    </row>
    <row r="68" ht="15.75" customHeight="1">
      <c r="A68" s="43"/>
      <c r="B68" s="41"/>
      <c r="C68" s="41"/>
      <c r="D68" s="41"/>
      <c r="E68" s="41"/>
      <c r="F68" s="41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1"/>
      <c r="X68" s="41"/>
      <c r="Y68" s="41"/>
      <c r="Z68" s="41"/>
    </row>
    <row r="69" ht="15.75" customHeight="1">
      <c r="A69" s="43"/>
      <c r="B69" s="41"/>
      <c r="C69" s="41"/>
      <c r="D69" s="41"/>
      <c r="E69" s="41"/>
      <c r="F69" s="41"/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1"/>
      <c r="X69" s="41"/>
      <c r="Y69" s="41"/>
      <c r="Z69" s="41"/>
    </row>
    <row r="70" ht="15.75" customHeight="1">
      <c r="A70" s="43"/>
      <c r="B70" s="41"/>
      <c r="C70" s="41"/>
      <c r="D70" s="41"/>
      <c r="E70" s="41"/>
      <c r="F70" s="41"/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1"/>
      <c r="X70" s="41"/>
      <c r="Y70" s="41"/>
      <c r="Z70" s="41"/>
    </row>
    <row r="71" ht="15.75" customHeight="1">
      <c r="A71" s="43"/>
      <c r="B71" s="41"/>
      <c r="C71" s="41"/>
      <c r="D71" s="41"/>
      <c r="E71" s="41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1"/>
      <c r="X71" s="41"/>
      <c r="Y71" s="41"/>
      <c r="Z71" s="41"/>
    </row>
    <row r="72" ht="15.75" customHeight="1">
      <c r="A72" s="43"/>
      <c r="B72" s="41"/>
      <c r="C72" s="41"/>
      <c r="D72" s="41"/>
      <c r="E72" s="41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1"/>
      <c r="X72" s="41"/>
      <c r="Y72" s="41"/>
      <c r="Z72" s="41"/>
    </row>
    <row r="73" ht="15.75" customHeight="1">
      <c r="A73" s="43"/>
      <c r="B73" s="41"/>
      <c r="C73" s="41"/>
      <c r="D73" s="41"/>
      <c r="E73" s="41"/>
      <c r="F73" s="41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1"/>
      <c r="X73" s="41"/>
      <c r="Y73" s="41"/>
      <c r="Z73" s="41"/>
    </row>
    <row r="74" ht="15.75" customHeight="1">
      <c r="A74" s="43"/>
      <c r="B74" s="41"/>
      <c r="C74" s="41"/>
      <c r="D74" s="41"/>
      <c r="E74" s="41"/>
      <c r="F74" s="41"/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1"/>
      <c r="X74" s="41"/>
      <c r="Y74" s="41"/>
      <c r="Z74" s="41"/>
    </row>
    <row r="75" ht="15.75" customHeight="1">
      <c r="A75" s="43"/>
      <c r="B75" s="41"/>
      <c r="C75" s="41"/>
      <c r="D75" s="41"/>
      <c r="E75" s="41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1"/>
      <c r="X75" s="41"/>
      <c r="Y75" s="41"/>
      <c r="Z75" s="41"/>
    </row>
    <row r="76" ht="15.75" customHeight="1">
      <c r="A76" s="43"/>
      <c r="B76" s="41"/>
      <c r="C76" s="41"/>
      <c r="D76" s="41"/>
      <c r="E76" s="41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1"/>
      <c r="X76" s="41"/>
      <c r="Y76" s="41"/>
      <c r="Z76" s="41"/>
    </row>
    <row r="77" ht="15.75" customHeight="1">
      <c r="A77" s="43"/>
      <c r="B77" s="41"/>
      <c r="C77" s="41"/>
      <c r="D77" s="41"/>
      <c r="E77" s="41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1"/>
      <c r="X77" s="41"/>
      <c r="Y77" s="41"/>
      <c r="Z77" s="41"/>
    </row>
    <row r="78" ht="15.75" customHeight="1">
      <c r="A78" s="43"/>
      <c r="B78" s="41"/>
      <c r="C78" s="41"/>
      <c r="D78" s="41"/>
      <c r="E78" s="41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1"/>
      <c r="X78" s="41"/>
      <c r="Y78" s="41"/>
      <c r="Z78" s="41"/>
    </row>
    <row r="79" ht="15.75" customHeight="1">
      <c r="A79" s="43"/>
      <c r="B79" s="41"/>
      <c r="C79" s="41"/>
      <c r="D79" s="41"/>
      <c r="E79" s="41"/>
      <c r="F79" s="4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1"/>
      <c r="X79" s="41"/>
      <c r="Y79" s="41"/>
      <c r="Z79" s="41"/>
    </row>
    <row r="80" ht="15.75" customHeight="1">
      <c r="A80" s="43"/>
      <c r="B80" s="41"/>
      <c r="C80" s="41"/>
      <c r="D80" s="41"/>
      <c r="E80" s="4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1"/>
      <c r="X80" s="41"/>
      <c r="Y80" s="41"/>
      <c r="Z80" s="41"/>
    </row>
    <row r="81" ht="15.75" customHeight="1">
      <c r="A81" s="43"/>
      <c r="B81" s="41"/>
      <c r="C81" s="41"/>
      <c r="D81" s="41"/>
      <c r="E81" s="41"/>
      <c r="F81" s="41"/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1"/>
      <c r="X81" s="41"/>
      <c r="Y81" s="41"/>
      <c r="Z81" s="41"/>
    </row>
    <row r="82" ht="15.75" customHeight="1">
      <c r="A82" s="43"/>
      <c r="B82" s="41"/>
      <c r="C82" s="41"/>
      <c r="D82" s="41"/>
      <c r="E82" s="4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1"/>
      <c r="X82" s="41"/>
      <c r="Y82" s="41"/>
      <c r="Z82" s="41"/>
    </row>
    <row r="83" ht="15.75" customHeight="1">
      <c r="A83" s="43"/>
      <c r="B83" s="41"/>
      <c r="C83" s="41"/>
      <c r="D83" s="41"/>
      <c r="E83" s="4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1"/>
      <c r="X83" s="41"/>
      <c r="Y83" s="41"/>
      <c r="Z83" s="41"/>
    </row>
    <row r="84" ht="15.75" customHeight="1">
      <c r="A84" s="43"/>
      <c r="B84" s="41"/>
      <c r="C84" s="41"/>
      <c r="D84" s="41"/>
      <c r="E84" s="4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1"/>
      <c r="X84" s="41"/>
      <c r="Y84" s="41"/>
      <c r="Z84" s="41"/>
    </row>
    <row r="85" ht="15.75" customHeight="1">
      <c r="A85" s="43"/>
      <c r="B85" s="41"/>
      <c r="C85" s="41"/>
      <c r="D85" s="41"/>
      <c r="E85" s="41"/>
      <c r="F85" s="41"/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1"/>
      <c r="X85" s="41"/>
      <c r="Y85" s="41"/>
      <c r="Z85" s="41"/>
    </row>
    <row r="86" ht="15.75" customHeight="1">
      <c r="A86" s="43"/>
      <c r="B86" s="41"/>
      <c r="C86" s="41"/>
      <c r="D86" s="41"/>
      <c r="E86" s="41"/>
      <c r="F86" s="41"/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1"/>
      <c r="X86" s="41"/>
      <c r="Y86" s="41"/>
      <c r="Z86" s="41"/>
    </row>
    <row r="87" ht="15.75" customHeight="1">
      <c r="A87" s="43"/>
      <c r="B87" s="41"/>
      <c r="C87" s="41"/>
      <c r="D87" s="41"/>
      <c r="E87" s="41"/>
      <c r="F87" s="4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1"/>
      <c r="X87" s="41"/>
      <c r="Y87" s="41"/>
      <c r="Z87" s="41"/>
    </row>
    <row r="88" ht="15.75" customHeight="1">
      <c r="A88" s="43"/>
      <c r="B88" s="41"/>
      <c r="C88" s="41"/>
      <c r="D88" s="41"/>
      <c r="E88" s="41"/>
      <c r="F88" s="41"/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1"/>
      <c r="X88" s="41"/>
      <c r="Y88" s="41"/>
      <c r="Z88" s="41"/>
    </row>
    <row r="89" ht="15.75" customHeight="1">
      <c r="A89" s="43"/>
      <c r="B89" s="41"/>
      <c r="C89" s="41"/>
      <c r="D89" s="41"/>
      <c r="E89" s="4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1"/>
      <c r="X89" s="41"/>
      <c r="Y89" s="41"/>
      <c r="Z89" s="41"/>
    </row>
    <row r="90" ht="15.75" customHeight="1">
      <c r="A90" s="43"/>
      <c r="B90" s="41"/>
      <c r="C90" s="41"/>
      <c r="D90" s="41"/>
      <c r="E90" s="41"/>
      <c r="F90" s="41"/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1"/>
      <c r="X90" s="41"/>
      <c r="Y90" s="41"/>
      <c r="Z90" s="41"/>
    </row>
    <row r="91" ht="15.75" customHeight="1">
      <c r="A91" s="43"/>
      <c r="B91" s="41"/>
      <c r="C91" s="41"/>
      <c r="D91" s="41"/>
      <c r="E91" s="41"/>
      <c r="F91" s="41"/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1"/>
      <c r="X91" s="41"/>
      <c r="Y91" s="41"/>
      <c r="Z91" s="41"/>
    </row>
    <row r="92" ht="15.75" customHeight="1">
      <c r="A92" s="43"/>
      <c r="B92" s="41"/>
      <c r="C92" s="41"/>
      <c r="D92" s="41"/>
      <c r="E92" s="41"/>
      <c r="F92" s="41"/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1"/>
      <c r="X92" s="41"/>
      <c r="Y92" s="41"/>
      <c r="Z92" s="41"/>
    </row>
    <row r="93" ht="15.75" customHeight="1">
      <c r="A93" s="43"/>
      <c r="B93" s="41"/>
      <c r="C93" s="41"/>
      <c r="D93" s="41"/>
      <c r="E93" s="41"/>
      <c r="F93" s="41"/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1"/>
      <c r="X93" s="41"/>
      <c r="Y93" s="41"/>
      <c r="Z93" s="41"/>
    </row>
    <row r="94" ht="15.75" customHeight="1">
      <c r="A94" s="43"/>
      <c r="B94" s="41"/>
      <c r="C94" s="41"/>
      <c r="D94" s="41"/>
      <c r="E94" s="41"/>
      <c r="F94" s="41"/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1"/>
      <c r="X94" s="41"/>
      <c r="Y94" s="41"/>
      <c r="Z94" s="41"/>
    </row>
    <row r="95" ht="15.75" customHeight="1">
      <c r="A95" s="43"/>
      <c r="B95" s="41"/>
      <c r="C95" s="41"/>
      <c r="D95" s="41"/>
      <c r="E95" s="41"/>
      <c r="F95" s="41"/>
      <c r="G95" s="41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1"/>
      <c r="X95" s="41"/>
      <c r="Y95" s="41"/>
      <c r="Z95" s="41"/>
    </row>
    <row r="96" ht="15.75" customHeight="1">
      <c r="A96" s="43"/>
      <c r="B96" s="41"/>
      <c r="C96" s="41"/>
      <c r="D96" s="41"/>
      <c r="E96" s="41"/>
      <c r="F96" s="41"/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1"/>
      <c r="X96" s="41"/>
      <c r="Y96" s="41"/>
      <c r="Z96" s="41"/>
    </row>
    <row r="97" ht="15.75" customHeight="1">
      <c r="A97" s="43"/>
      <c r="B97" s="41"/>
      <c r="C97" s="41"/>
      <c r="D97" s="41"/>
      <c r="E97" s="41"/>
      <c r="F97" s="41"/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1"/>
      <c r="X97" s="41"/>
      <c r="Y97" s="41"/>
      <c r="Z97" s="41"/>
    </row>
    <row r="98" ht="15.75" customHeight="1">
      <c r="A98" s="43"/>
      <c r="B98" s="41"/>
      <c r="C98" s="41"/>
      <c r="D98" s="41"/>
      <c r="E98" s="41"/>
      <c r="F98" s="41"/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1"/>
      <c r="X98" s="41"/>
      <c r="Y98" s="41"/>
      <c r="Z98" s="41"/>
    </row>
    <row r="99" ht="15.75" customHeight="1">
      <c r="A99" s="43"/>
      <c r="B99" s="41"/>
      <c r="C99" s="41"/>
      <c r="D99" s="41"/>
      <c r="E99" s="41"/>
      <c r="F99" s="41"/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1"/>
      <c r="X99" s="41"/>
      <c r="Y99" s="41"/>
      <c r="Z99" s="41"/>
    </row>
    <row r="100" ht="15.75" customHeight="1">
      <c r="A100" s="43"/>
      <c r="B100" s="41"/>
      <c r="C100" s="41"/>
      <c r="D100" s="41"/>
      <c r="E100" s="41"/>
      <c r="F100" s="41"/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1"/>
      <c r="X100" s="41"/>
      <c r="Y100" s="41"/>
      <c r="Z100" s="41"/>
    </row>
    <row r="101" ht="15.75" customHeight="1">
      <c r="A101" s="43"/>
      <c r="B101" s="41"/>
      <c r="C101" s="41"/>
      <c r="D101" s="41"/>
      <c r="E101" s="41"/>
      <c r="F101" s="41"/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1"/>
      <c r="X101" s="41"/>
      <c r="Y101" s="41"/>
      <c r="Z101" s="41"/>
    </row>
    <row r="102" ht="15.75" customHeight="1">
      <c r="A102" s="43"/>
      <c r="B102" s="41"/>
      <c r="C102" s="41"/>
      <c r="D102" s="41"/>
      <c r="E102" s="41"/>
      <c r="F102" s="41"/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1"/>
      <c r="X102" s="41"/>
      <c r="Y102" s="41"/>
      <c r="Z102" s="41"/>
    </row>
    <row r="103" ht="15.75" customHeight="1">
      <c r="A103" s="43"/>
      <c r="B103" s="41"/>
      <c r="C103" s="41"/>
      <c r="D103" s="41"/>
      <c r="E103" s="41"/>
      <c r="F103" s="41"/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1"/>
      <c r="X103" s="41"/>
      <c r="Y103" s="41"/>
      <c r="Z103" s="41"/>
    </row>
    <row r="104" ht="15.75" customHeight="1">
      <c r="A104" s="43"/>
      <c r="B104" s="41"/>
      <c r="C104" s="41"/>
      <c r="D104" s="41"/>
      <c r="E104" s="41"/>
      <c r="F104" s="41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1"/>
      <c r="X104" s="41"/>
      <c r="Y104" s="41"/>
      <c r="Z104" s="41"/>
    </row>
    <row r="105" ht="15.75" customHeight="1">
      <c r="A105" s="43"/>
      <c r="B105" s="41"/>
      <c r="C105" s="41"/>
      <c r="D105" s="41"/>
      <c r="E105" s="41"/>
      <c r="F105" s="41"/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1"/>
      <c r="X105" s="41"/>
      <c r="Y105" s="41"/>
      <c r="Z105" s="41"/>
    </row>
    <row r="106" ht="15.75" customHeight="1">
      <c r="A106" s="43"/>
      <c r="B106" s="41"/>
      <c r="C106" s="41"/>
      <c r="D106" s="41"/>
      <c r="E106" s="41"/>
      <c r="F106" s="41"/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1"/>
      <c r="X106" s="41"/>
      <c r="Y106" s="41"/>
      <c r="Z106" s="41"/>
    </row>
    <row r="107" ht="15.75" customHeight="1">
      <c r="A107" s="43"/>
      <c r="B107" s="41"/>
      <c r="C107" s="41"/>
      <c r="D107" s="41"/>
      <c r="E107" s="41"/>
      <c r="F107" s="41"/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1"/>
      <c r="X107" s="41"/>
      <c r="Y107" s="41"/>
      <c r="Z107" s="41"/>
    </row>
    <row r="108" ht="15.75" customHeight="1">
      <c r="A108" s="43"/>
      <c r="B108" s="41"/>
      <c r="C108" s="41"/>
      <c r="D108" s="41"/>
      <c r="E108" s="41"/>
      <c r="F108" s="41"/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1"/>
      <c r="X108" s="41"/>
      <c r="Y108" s="41"/>
      <c r="Z108" s="41"/>
    </row>
    <row r="109" ht="15.75" customHeight="1">
      <c r="A109" s="43"/>
      <c r="B109" s="41"/>
      <c r="C109" s="41"/>
      <c r="D109" s="41"/>
      <c r="E109" s="41"/>
      <c r="F109" s="41"/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1"/>
      <c r="X109" s="41"/>
      <c r="Y109" s="41"/>
      <c r="Z109" s="41"/>
    </row>
    <row r="110" ht="15.75" customHeight="1">
      <c r="A110" s="43"/>
      <c r="B110" s="41"/>
      <c r="C110" s="41"/>
      <c r="D110" s="41"/>
      <c r="E110" s="41"/>
      <c r="F110" s="41"/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1"/>
      <c r="X110" s="41"/>
      <c r="Y110" s="41"/>
      <c r="Z110" s="41"/>
    </row>
    <row r="111" ht="15.75" customHeight="1">
      <c r="A111" s="43"/>
      <c r="B111" s="41"/>
      <c r="C111" s="41"/>
      <c r="D111" s="41"/>
      <c r="E111" s="41"/>
      <c r="F111" s="41"/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1"/>
      <c r="X111" s="41"/>
      <c r="Y111" s="41"/>
      <c r="Z111" s="41"/>
    </row>
    <row r="112" ht="15.75" customHeight="1">
      <c r="A112" s="43"/>
      <c r="B112" s="41"/>
      <c r="C112" s="41"/>
      <c r="D112" s="41"/>
      <c r="E112" s="41"/>
      <c r="F112" s="41"/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1"/>
      <c r="X112" s="41"/>
      <c r="Y112" s="41"/>
      <c r="Z112" s="41"/>
    </row>
    <row r="113" ht="15.75" customHeight="1">
      <c r="A113" s="43"/>
      <c r="B113" s="41"/>
      <c r="C113" s="41"/>
      <c r="D113" s="41"/>
      <c r="E113" s="41"/>
      <c r="F113" s="41"/>
      <c r="G113" s="41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1"/>
      <c r="X113" s="41"/>
      <c r="Y113" s="41"/>
      <c r="Z113" s="41"/>
    </row>
    <row r="114" ht="15.75" customHeight="1">
      <c r="A114" s="43"/>
      <c r="B114" s="41"/>
      <c r="C114" s="41"/>
      <c r="D114" s="41"/>
      <c r="E114" s="41"/>
      <c r="F114" s="41"/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1"/>
      <c r="X114" s="41"/>
      <c r="Y114" s="41"/>
      <c r="Z114" s="41"/>
    </row>
    <row r="115" ht="15.75" customHeight="1">
      <c r="A115" s="43"/>
      <c r="B115" s="41"/>
      <c r="C115" s="41"/>
      <c r="D115" s="41"/>
      <c r="E115" s="41"/>
      <c r="F115" s="41"/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1"/>
      <c r="X115" s="41"/>
      <c r="Y115" s="41"/>
      <c r="Z115" s="41"/>
    </row>
    <row r="116" ht="15.75" customHeight="1">
      <c r="A116" s="43"/>
      <c r="B116" s="41"/>
      <c r="C116" s="41"/>
      <c r="D116" s="41"/>
      <c r="E116" s="41"/>
      <c r="F116" s="41"/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1"/>
      <c r="X116" s="41"/>
      <c r="Y116" s="41"/>
      <c r="Z116" s="41"/>
    </row>
    <row r="117" ht="15.75" customHeight="1">
      <c r="A117" s="43"/>
      <c r="B117" s="41"/>
      <c r="C117" s="41"/>
      <c r="D117" s="41"/>
      <c r="E117" s="41"/>
      <c r="F117" s="41"/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1"/>
      <c r="X117" s="41"/>
      <c r="Y117" s="41"/>
      <c r="Z117" s="41"/>
    </row>
    <row r="118" ht="15.75" customHeight="1">
      <c r="A118" s="43"/>
      <c r="B118" s="41"/>
      <c r="C118" s="41"/>
      <c r="D118" s="41"/>
      <c r="E118" s="41"/>
      <c r="F118" s="41"/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1"/>
      <c r="X118" s="41"/>
      <c r="Y118" s="41"/>
      <c r="Z118" s="41"/>
    </row>
    <row r="119" ht="15.75" customHeight="1">
      <c r="A119" s="43"/>
      <c r="B119" s="41"/>
      <c r="C119" s="41"/>
      <c r="D119" s="41"/>
      <c r="E119" s="41"/>
      <c r="F119" s="41"/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1"/>
      <c r="X119" s="41"/>
      <c r="Y119" s="41"/>
      <c r="Z119" s="41"/>
    </row>
    <row r="120" ht="15.75" customHeight="1">
      <c r="A120" s="43"/>
      <c r="B120" s="41"/>
      <c r="C120" s="41"/>
      <c r="D120" s="41"/>
      <c r="E120" s="41"/>
      <c r="F120" s="41"/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1"/>
      <c r="X120" s="41"/>
      <c r="Y120" s="41"/>
      <c r="Z120" s="41"/>
    </row>
    <row r="121" ht="15.75" customHeight="1">
      <c r="A121" s="43"/>
      <c r="B121" s="41"/>
      <c r="C121" s="41"/>
      <c r="D121" s="41"/>
      <c r="E121" s="41"/>
      <c r="F121" s="41"/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1"/>
      <c r="X121" s="41"/>
      <c r="Y121" s="41"/>
      <c r="Z121" s="41"/>
    </row>
    <row r="122" ht="15.75" customHeight="1">
      <c r="A122" s="43"/>
      <c r="B122" s="41"/>
      <c r="C122" s="41"/>
      <c r="D122" s="41"/>
      <c r="E122" s="41"/>
      <c r="F122" s="41"/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1"/>
      <c r="X122" s="41"/>
      <c r="Y122" s="41"/>
      <c r="Z122" s="41"/>
    </row>
    <row r="123" ht="15.75" customHeight="1">
      <c r="A123" s="43"/>
      <c r="B123" s="41"/>
      <c r="C123" s="41"/>
      <c r="D123" s="41"/>
      <c r="E123" s="41"/>
      <c r="F123" s="41"/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1"/>
      <c r="X123" s="41"/>
      <c r="Y123" s="41"/>
      <c r="Z123" s="41"/>
    </row>
    <row r="124" ht="15.75" customHeight="1">
      <c r="A124" s="43"/>
      <c r="B124" s="41"/>
      <c r="C124" s="41"/>
      <c r="D124" s="41"/>
      <c r="E124" s="41"/>
      <c r="F124" s="41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1"/>
      <c r="X124" s="41"/>
      <c r="Y124" s="41"/>
      <c r="Z124" s="41"/>
    </row>
    <row r="125" ht="15.75" customHeight="1">
      <c r="A125" s="43"/>
      <c r="B125" s="41"/>
      <c r="C125" s="41"/>
      <c r="D125" s="41"/>
      <c r="E125" s="41"/>
      <c r="F125" s="41"/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1"/>
      <c r="X125" s="41"/>
      <c r="Y125" s="41"/>
      <c r="Z125" s="41"/>
    </row>
    <row r="126" ht="15.75" customHeight="1">
      <c r="A126" s="43"/>
      <c r="B126" s="41"/>
      <c r="C126" s="41"/>
      <c r="D126" s="41"/>
      <c r="E126" s="41"/>
      <c r="F126" s="41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1"/>
      <c r="X126" s="41"/>
      <c r="Y126" s="41"/>
      <c r="Z126" s="41"/>
    </row>
    <row r="127" ht="15.75" customHeight="1">
      <c r="A127" s="43"/>
      <c r="B127" s="41"/>
      <c r="C127" s="41"/>
      <c r="D127" s="41"/>
      <c r="E127" s="41"/>
      <c r="F127" s="41"/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1"/>
      <c r="X127" s="41"/>
      <c r="Y127" s="41"/>
      <c r="Z127" s="41"/>
    </row>
    <row r="128" ht="15.75" customHeight="1">
      <c r="A128" s="43"/>
      <c r="B128" s="41"/>
      <c r="C128" s="41"/>
      <c r="D128" s="41"/>
      <c r="E128" s="41"/>
      <c r="F128" s="41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1"/>
      <c r="X128" s="41"/>
      <c r="Y128" s="41"/>
      <c r="Z128" s="41"/>
    </row>
    <row r="129" ht="15.75" customHeight="1">
      <c r="A129" s="43"/>
      <c r="B129" s="41"/>
      <c r="C129" s="41"/>
      <c r="D129" s="41"/>
      <c r="E129" s="41"/>
      <c r="F129" s="4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1"/>
      <c r="X129" s="41"/>
      <c r="Y129" s="41"/>
      <c r="Z129" s="41"/>
    </row>
    <row r="130" ht="15.75" customHeight="1">
      <c r="A130" s="43"/>
      <c r="B130" s="41"/>
      <c r="C130" s="41"/>
      <c r="D130" s="41"/>
      <c r="E130" s="41"/>
      <c r="F130" s="41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1"/>
      <c r="X130" s="41"/>
      <c r="Y130" s="41"/>
      <c r="Z130" s="41"/>
    </row>
    <row r="131" ht="15.75" customHeight="1">
      <c r="A131" s="43"/>
      <c r="B131" s="41"/>
      <c r="C131" s="41"/>
      <c r="D131" s="41"/>
      <c r="E131" s="41"/>
      <c r="F131" s="41"/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1"/>
      <c r="X131" s="41"/>
      <c r="Y131" s="41"/>
      <c r="Z131" s="41"/>
    </row>
    <row r="132" ht="15.75" customHeight="1">
      <c r="A132" s="43"/>
      <c r="B132" s="41"/>
      <c r="C132" s="41"/>
      <c r="D132" s="41"/>
      <c r="E132" s="41"/>
      <c r="F132" s="41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1"/>
      <c r="X132" s="41"/>
      <c r="Y132" s="41"/>
      <c r="Z132" s="41"/>
    </row>
    <row r="133" ht="15.75" customHeight="1">
      <c r="A133" s="43"/>
      <c r="B133" s="41"/>
      <c r="C133" s="41"/>
      <c r="D133" s="41"/>
      <c r="E133" s="41"/>
      <c r="F133" s="4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1"/>
      <c r="X133" s="41"/>
      <c r="Y133" s="41"/>
      <c r="Z133" s="41"/>
    </row>
    <row r="134" ht="15.75" customHeight="1">
      <c r="A134" s="43"/>
      <c r="B134" s="41"/>
      <c r="C134" s="41"/>
      <c r="D134" s="41"/>
      <c r="E134" s="41"/>
      <c r="F134" s="41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1"/>
      <c r="X134" s="41"/>
      <c r="Y134" s="41"/>
      <c r="Z134" s="41"/>
    </row>
    <row r="135" ht="15.75" customHeight="1">
      <c r="A135" s="43"/>
      <c r="B135" s="41"/>
      <c r="C135" s="41"/>
      <c r="D135" s="41"/>
      <c r="E135" s="41"/>
      <c r="F135" s="41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1"/>
      <c r="X135" s="41"/>
      <c r="Y135" s="41"/>
      <c r="Z135" s="41"/>
    </row>
    <row r="136" ht="15.75" customHeight="1">
      <c r="A136" s="43"/>
      <c r="B136" s="41"/>
      <c r="C136" s="41"/>
      <c r="D136" s="41"/>
      <c r="E136" s="41"/>
      <c r="F136" s="41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1"/>
      <c r="X136" s="41"/>
      <c r="Y136" s="41"/>
      <c r="Z136" s="41"/>
    </row>
    <row r="137" ht="15.75" customHeight="1">
      <c r="A137" s="43"/>
      <c r="B137" s="41"/>
      <c r="C137" s="41"/>
      <c r="D137" s="41"/>
      <c r="E137" s="41"/>
      <c r="F137" s="41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1"/>
      <c r="X137" s="41"/>
      <c r="Y137" s="41"/>
      <c r="Z137" s="41"/>
    </row>
    <row r="138" ht="15.75" customHeight="1">
      <c r="A138" s="43"/>
      <c r="B138" s="41"/>
      <c r="C138" s="41"/>
      <c r="D138" s="41"/>
      <c r="E138" s="41"/>
      <c r="F138" s="41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1"/>
      <c r="X138" s="41"/>
      <c r="Y138" s="41"/>
      <c r="Z138" s="41"/>
    </row>
    <row r="139" ht="15.75" customHeight="1">
      <c r="A139" s="43"/>
      <c r="B139" s="41"/>
      <c r="C139" s="41"/>
      <c r="D139" s="41"/>
      <c r="E139" s="41"/>
      <c r="F139" s="41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1"/>
      <c r="X139" s="41"/>
      <c r="Y139" s="41"/>
      <c r="Z139" s="41"/>
    </row>
    <row r="140" ht="15.75" customHeight="1">
      <c r="A140" s="43"/>
      <c r="B140" s="41"/>
      <c r="C140" s="41"/>
      <c r="D140" s="41"/>
      <c r="E140" s="41"/>
      <c r="F140" s="41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1"/>
      <c r="X140" s="41"/>
      <c r="Y140" s="41"/>
      <c r="Z140" s="41"/>
    </row>
    <row r="141" ht="15.75" customHeight="1">
      <c r="A141" s="43"/>
      <c r="B141" s="41"/>
      <c r="C141" s="41"/>
      <c r="D141" s="41"/>
      <c r="E141" s="41"/>
      <c r="F141" s="41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1"/>
      <c r="X141" s="41"/>
      <c r="Y141" s="41"/>
      <c r="Z141" s="41"/>
    </row>
    <row r="142" ht="15.75" customHeight="1">
      <c r="A142" s="43"/>
      <c r="B142" s="41"/>
      <c r="C142" s="41"/>
      <c r="D142" s="41"/>
      <c r="E142" s="4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1"/>
      <c r="X142" s="41"/>
      <c r="Y142" s="41"/>
      <c r="Z142" s="41"/>
    </row>
    <row r="143" ht="15.75" customHeight="1">
      <c r="A143" s="43"/>
      <c r="B143" s="41"/>
      <c r="C143" s="41"/>
      <c r="D143" s="41"/>
      <c r="E143" s="41"/>
      <c r="F143" s="41"/>
      <c r="G143" s="41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1"/>
      <c r="X143" s="41"/>
      <c r="Y143" s="41"/>
      <c r="Z143" s="41"/>
    </row>
    <row r="144" ht="15.75" customHeight="1">
      <c r="A144" s="43"/>
      <c r="B144" s="41"/>
      <c r="C144" s="41"/>
      <c r="D144" s="41"/>
      <c r="E144" s="41"/>
      <c r="F144" s="4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1"/>
      <c r="X144" s="41"/>
      <c r="Y144" s="41"/>
      <c r="Z144" s="41"/>
    </row>
    <row r="145" ht="15.75" customHeight="1">
      <c r="A145" s="43"/>
      <c r="B145" s="41"/>
      <c r="C145" s="41"/>
      <c r="D145" s="41"/>
      <c r="E145" s="41"/>
      <c r="F145" s="41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1"/>
      <c r="X145" s="41"/>
      <c r="Y145" s="41"/>
      <c r="Z145" s="41"/>
    </row>
    <row r="146" ht="15.75" customHeight="1">
      <c r="A146" s="43"/>
      <c r="B146" s="41"/>
      <c r="C146" s="41"/>
      <c r="D146" s="41"/>
      <c r="E146" s="41"/>
      <c r="F146" s="41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1"/>
      <c r="X146" s="41"/>
      <c r="Y146" s="41"/>
      <c r="Z146" s="41"/>
    </row>
    <row r="147" ht="15.75" customHeight="1">
      <c r="A147" s="43"/>
      <c r="B147" s="41"/>
      <c r="C147" s="41"/>
      <c r="D147" s="41"/>
      <c r="E147" s="41"/>
      <c r="F147" s="41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1"/>
      <c r="X147" s="41"/>
      <c r="Y147" s="41"/>
      <c r="Z147" s="41"/>
    </row>
    <row r="148" ht="15.75" customHeight="1">
      <c r="A148" s="43"/>
      <c r="B148" s="41"/>
      <c r="C148" s="41"/>
      <c r="D148" s="41"/>
      <c r="E148" s="41"/>
      <c r="F148" s="41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1"/>
      <c r="X148" s="41"/>
      <c r="Y148" s="41"/>
      <c r="Z148" s="41"/>
    </row>
    <row r="149" ht="15.75" customHeight="1">
      <c r="A149" s="43"/>
      <c r="B149" s="41"/>
      <c r="C149" s="41"/>
      <c r="D149" s="41"/>
      <c r="E149" s="41"/>
      <c r="F149" s="41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1"/>
      <c r="X149" s="41"/>
      <c r="Y149" s="41"/>
      <c r="Z149" s="41"/>
    </row>
    <row r="150" ht="15.75" customHeight="1">
      <c r="A150" s="43"/>
      <c r="B150" s="41"/>
      <c r="C150" s="41"/>
      <c r="D150" s="41"/>
      <c r="E150" s="41"/>
      <c r="F150" s="41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1"/>
      <c r="X150" s="41"/>
      <c r="Y150" s="41"/>
      <c r="Z150" s="41"/>
    </row>
    <row r="151" ht="15.75" customHeight="1">
      <c r="A151" s="43"/>
      <c r="B151" s="41"/>
      <c r="C151" s="41"/>
      <c r="D151" s="41"/>
      <c r="E151" s="41"/>
      <c r="F151" s="41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1"/>
      <c r="X151" s="41"/>
      <c r="Y151" s="41"/>
      <c r="Z151" s="41"/>
    </row>
    <row r="152" ht="15.75" customHeight="1">
      <c r="A152" s="43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1"/>
      <c r="X152" s="41"/>
      <c r="Y152" s="41"/>
      <c r="Z152" s="41"/>
    </row>
    <row r="153" ht="15.75" customHeight="1">
      <c r="A153" s="43"/>
      <c r="B153" s="41"/>
      <c r="C153" s="41"/>
      <c r="D153" s="41"/>
      <c r="E153" s="41"/>
      <c r="F153" s="41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1"/>
      <c r="X153" s="41"/>
      <c r="Y153" s="41"/>
      <c r="Z153" s="41"/>
    </row>
    <row r="154" ht="15.75" customHeight="1">
      <c r="A154" s="43"/>
      <c r="B154" s="41"/>
      <c r="C154" s="41"/>
      <c r="D154" s="41"/>
      <c r="E154" s="41"/>
      <c r="F154" s="41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1"/>
      <c r="X154" s="41"/>
      <c r="Y154" s="41"/>
      <c r="Z154" s="41"/>
    </row>
    <row r="155" ht="15.75" customHeight="1">
      <c r="A155" s="43"/>
      <c r="B155" s="41"/>
      <c r="C155" s="41"/>
      <c r="D155" s="41"/>
      <c r="E155" s="41"/>
      <c r="F155" s="41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1"/>
      <c r="X155" s="41"/>
      <c r="Y155" s="41"/>
      <c r="Z155" s="41"/>
    </row>
    <row r="156" ht="15.75" customHeight="1">
      <c r="A156" s="43"/>
      <c r="B156" s="41"/>
      <c r="C156" s="41"/>
      <c r="D156" s="41"/>
      <c r="E156" s="41"/>
      <c r="F156" s="41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1"/>
      <c r="X156" s="41"/>
      <c r="Y156" s="41"/>
      <c r="Z156" s="41"/>
    </row>
    <row r="157" ht="15.75" customHeight="1">
      <c r="A157" s="43"/>
      <c r="B157" s="41"/>
      <c r="C157" s="41"/>
      <c r="D157" s="41"/>
      <c r="E157" s="41"/>
      <c r="F157" s="41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1"/>
      <c r="X157" s="41"/>
      <c r="Y157" s="41"/>
      <c r="Z157" s="41"/>
    </row>
    <row r="158" ht="15.75" customHeight="1">
      <c r="A158" s="43"/>
      <c r="B158" s="41"/>
      <c r="C158" s="41"/>
      <c r="D158" s="41"/>
      <c r="E158" s="41"/>
      <c r="F158" s="41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1"/>
      <c r="X158" s="41"/>
      <c r="Y158" s="41"/>
      <c r="Z158" s="41"/>
    </row>
    <row r="159" ht="15.75" customHeight="1">
      <c r="A159" s="43"/>
      <c r="B159" s="41"/>
      <c r="C159" s="41"/>
      <c r="D159" s="41"/>
      <c r="E159" s="41"/>
      <c r="F159" s="41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1"/>
      <c r="X159" s="41"/>
      <c r="Y159" s="41"/>
      <c r="Z159" s="41"/>
    </row>
    <row r="160" ht="15.75" customHeight="1">
      <c r="A160" s="43"/>
      <c r="B160" s="41"/>
      <c r="C160" s="41"/>
      <c r="D160" s="41"/>
      <c r="E160" s="41"/>
      <c r="F160" s="41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1"/>
      <c r="X160" s="41"/>
      <c r="Y160" s="41"/>
      <c r="Z160" s="41"/>
    </row>
    <row r="161" ht="15.75" customHeight="1">
      <c r="A161" s="43"/>
      <c r="B161" s="41"/>
      <c r="C161" s="41"/>
      <c r="D161" s="41"/>
      <c r="E161" s="41"/>
      <c r="F161" s="41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1"/>
      <c r="X161" s="41"/>
      <c r="Y161" s="41"/>
      <c r="Z161" s="41"/>
    </row>
    <row r="162" ht="15.75" customHeight="1">
      <c r="A162" s="43"/>
      <c r="B162" s="41"/>
      <c r="C162" s="41"/>
      <c r="D162" s="41"/>
      <c r="E162" s="41"/>
      <c r="F162" s="41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1"/>
      <c r="X162" s="41"/>
      <c r="Y162" s="41"/>
      <c r="Z162" s="41"/>
    </row>
    <row r="163" ht="15.75" customHeight="1">
      <c r="A163" s="43"/>
      <c r="B163" s="41"/>
      <c r="C163" s="41"/>
      <c r="D163" s="41"/>
      <c r="E163" s="41"/>
      <c r="F163" s="41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1"/>
      <c r="X163" s="41"/>
      <c r="Y163" s="41"/>
      <c r="Z163" s="41"/>
    </row>
    <row r="164" ht="15.75" customHeight="1">
      <c r="A164" s="43"/>
      <c r="B164" s="41"/>
      <c r="C164" s="41"/>
      <c r="D164" s="41"/>
      <c r="E164" s="41"/>
      <c r="F164" s="41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1"/>
      <c r="X164" s="41"/>
      <c r="Y164" s="41"/>
      <c r="Z164" s="41"/>
    </row>
    <row r="165" ht="15.75" customHeight="1">
      <c r="A165" s="43"/>
      <c r="B165" s="41"/>
      <c r="C165" s="41"/>
      <c r="D165" s="41"/>
      <c r="E165" s="41"/>
      <c r="F165" s="41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1"/>
      <c r="X165" s="41"/>
      <c r="Y165" s="41"/>
      <c r="Z165" s="41"/>
    </row>
    <row r="166" ht="15.75" customHeight="1">
      <c r="A166" s="43"/>
      <c r="B166" s="41"/>
      <c r="C166" s="41"/>
      <c r="D166" s="41"/>
      <c r="E166" s="41"/>
      <c r="F166" s="41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1"/>
      <c r="X166" s="41"/>
      <c r="Y166" s="41"/>
      <c r="Z166" s="41"/>
    </row>
    <row r="167" ht="15.75" customHeight="1">
      <c r="A167" s="43"/>
      <c r="B167" s="41"/>
      <c r="C167" s="41"/>
      <c r="D167" s="41"/>
      <c r="E167" s="41"/>
      <c r="F167" s="41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1"/>
      <c r="X167" s="41"/>
      <c r="Y167" s="41"/>
      <c r="Z167" s="41"/>
    </row>
    <row r="168" ht="15.75" customHeight="1">
      <c r="A168" s="43"/>
      <c r="B168" s="41"/>
      <c r="C168" s="41"/>
      <c r="D168" s="41"/>
      <c r="E168" s="41"/>
      <c r="F168" s="41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1"/>
      <c r="X168" s="41"/>
      <c r="Y168" s="41"/>
      <c r="Z168" s="41"/>
    </row>
    <row r="169" ht="15.75" customHeight="1">
      <c r="A169" s="43"/>
      <c r="B169" s="41"/>
      <c r="C169" s="41"/>
      <c r="D169" s="41"/>
      <c r="E169" s="41"/>
      <c r="F169" s="41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1"/>
      <c r="X169" s="41"/>
      <c r="Y169" s="41"/>
      <c r="Z169" s="41"/>
    </row>
    <row r="170" ht="15.75" customHeight="1">
      <c r="A170" s="43"/>
      <c r="B170" s="41"/>
      <c r="C170" s="41"/>
      <c r="D170" s="41"/>
      <c r="E170" s="41"/>
      <c r="F170" s="41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1"/>
      <c r="X170" s="41"/>
      <c r="Y170" s="41"/>
      <c r="Z170" s="41"/>
    </row>
    <row r="171" ht="15.75" customHeight="1">
      <c r="A171" s="43"/>
      <c r="B171" s="41"/>
      <c r="C171" s="41"/>
      <c r="D171" s="41"/>
      <c r="E171" s="41"/>
      <c r="F171" s="41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1"/>
      <c r="X171" s="41"/>
      <c r="Y171" s="41"/>
      <c r="Z171" s="41"/>
    </row>
    <row r="172" ht="15.75" customHeight="1">
      <c r="A172" s="43"/>
      <c r="B172" s="41"/>
      <c r="C172" s="41"/>
      <c r="D172" s="41"/>
      <c r="E172" s="41"/>
      <c r="F172" s="41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1"/>
      <c r="X172" s="41"/>
      <c r="Y172" s="41"/>
      <c r="Z172" s="41"/>
    </row>
    <row r="173" ht="15.75" customHeight="1">
      <c r="A173" s="43"/>
      <c r="B173" s="41"/>
      <c r="C173" s="41"/>
      <c r="D173" s="41"/>
      <c r="E173" s="41"/>
      <c r="F173" s="41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1"/>
      <c r="X173" s="41"/>
      <c r="Y173" s="41"/>
      <c r="Z173" s="41"/>
    </row>
    <row r="174" ht="15.75" customHeight="1">
      <c r="A174" s="43"/>
      <c r="B174" s="41"/>
      <c r="C174" s="41"/>
      <c r="D174" s="41"/>
      <c r="E174" s="41"/>
      <c r="F174" s="41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1"/>
      <c r="X174" s="41"/>
      <c r="Y174" s="41"/>
      <c r="Z174" s="41"/>
    </row>
    <row r="175" ht="15.75" customHeight="1">
      <c r="A175" s="43"/>
      <c r="B175" s="41"/>
      <c r="C175" s="41"/>
      <c r="D175" s="41"/>
      <c r="E175" s="41"/>
      <c r="F175" s="41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1"/>
      <c r="X175" s="41"/>
      <c r="Y175" s="41"/>
      <c r="Z175" s="41"/>
    </row>
    <row r="176" ht="15.75" customHeight="1">
      <c r="A176" s="43"/>
      <c r="B176" s="41"/>
      <c r="C176" s="41"/>
      <c r="D176" s="41"/>
      <c r="E176" s="41"/>
      <c r="F176" s="41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1"/>
      <c r="X176" s="41"/>
      <c r="Y176" s="41"/>
      <c r="Z176" s="41"/>
    </row>
    <row r="177" ht="15.75" customHeight="1">
      <c r="A177" s="43"/>
      <c r="B177" s="41"/>
      <c r="C177" s="41"/>
      <c r="D177" s="41"/>
      <c r="E177" s="41"/>
      <c r="F177" s="41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1"/>
      <c r="X177" s="41"/>
      <c r="Y177" s="41"/>
      <c r="Z177" s="41"/>
    </row>
    <row r="178" ht="15.75" customHeight="1">
      <c r="A178" s="43"/>
      <c r="B178" s="41"/>
      <c r="C178" s="41"/>
      <c r="D178" s="41"/>
      <c r="E178" s="41"/>
      <c r="F178" s="41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1"/>
      <c r="X178" s="41"/>
      <c r="Y178" s="41"/>
      <c r="Z178" s="41"/>
    </row>
    <row r="179" ht="15.75" customHeight="1">
      <c r="A179" s="43"/>
      <c r="B179" s="41"/>
      <c r="C179" s="41"/>
      <c r="D179" s="41"/>
      <c r="E179" s="41"/>
      <c r="F179" s="41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1"/>
      <c r="X179" s="41"/>
      <c r="Y179" s="41"/>
      <c r="Z179" s="41"/>
    </row>
    <row r="180" ht="15.75" customHeight="1">
      <c r="A180" s="43"/>
      <c r="B180" s="41"/>
      <c r="C180" s="41"/>
      <c r="D180" s="41"/>
      <c r="E180" s="41"/>
      <c r="F180" s="41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1"/>
      <c r="X180" s="41"/>
      <c r="Y180" s="41"/>
      <c r="Z180" s="41"/>
    </row>
    <row r="181" ht="15.75" customHeight="1">
      <c r="A181" s="43"/>
      <c r="B181" s="41"/>
      <c r="C181" s="41"/>
      <c r="D181" s="41"/>
      <c r="E181" s="41"/>
      <c r="F181" s="41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1"/>
      <c r="X181" s="41"/>
      <c r="Y181" s="41"/>
      <c r="Z181" s="41"/>
    </row>
    <row r="182" ht="15.75" customHeight="1">
      <c r="A182" s="43"/>
      <c r="B182" s="41"/>
      <c r="C182" s="41"/>
      <c r="D182" s="41"/>
      <c r="E182" s="41"/>
      <c r="F182" s="41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1"/>
      <c r="X182" s="41"/>
      <c r="Y182" s="41"/>
      <c r="Z182" s="41"/>
    </row>
    <row r="183" ht="15.75" customHeight="1">
      <c r="A183" s="43"/>
      <c r="B183" s="41"/>
      <c r="C183" s="41"/>
      <c r="D183" s="41"/>
      <c r="E183" s="41"/>
      <c r="F183" s="41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1"/>
      <c r="X183" s="41"/>
      <c r="Y183" s="41"/>
      <c r="Z183" s="41"/>
    </row>
    <row r="184" ht="15.75" customHeight="1">
      <c r="A184" s="43"/>
      <c r="B184" s="41"/>
      <c r="C184" s="41"/>
      <c r="D184" s="41"/>
      <c r="E184" s="41"/>
      <c r="F184" s="41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1"/>
      <c r="X184" s="41"/>
      <c r="Y184" s="41"/>
      <c r="Z184" s="41"/>
    </row>
    <row r="185" ht="15.75" customHeight="1">
      <c r="A185" s="43"/>
      <c r="B185" s="41"/>
      <c r="C185" s="41"/>
      <c r="D185" s="41"/>
      <c r="E185" s="41"/>
      <c r="F185" s="41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1"/>
      <c r="X185" s="41"/>
      <c r="Y185" s="41"/>
      <c r="Z185" s="41"/>
    </row>
    <row r="186" ht="15.75" customHeight="1">
      <c r="A186" s="43"/>
      <c r="B186" s="41"/>
      <c r="C186" s="41"/>
      <c r="D186" s="41"/>
      <c r="E186" s="41"/>
      <c r="F186" s="41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1"/>
      <c r="X186" s="41"/>
      <c r="Y186" s="41"/>
      <c r="Z186" s="41"/>
    </row>
    <row r="187" ht="15.75" customHeight="1">
      <c r="A187" s="43"/>
      <c r="B187" s="41"/>
      <c r="C187" s="41"/>
      <c r="D187" s="41"/>
      <c r="E187" s="41"/>
      <c r="F187" s="41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1"/>
      <c r="X187" s="41"/>
      <c r="Y187" s="41"/>
      <c r="Z187" s="41"/>
    </row>
    <row r="188" ht="15.75" customHeight="1">
      <c r="A188" s="43"/>
      <c r="B188" s="41"/>
      <c r="C188" s="41"/>
      <c r="D188" s="41"/>
      <c r="E188" s="41"/>
      <c r="F188" s="41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1"/>
      <c r="X188" s="41"/>
      <c r="Y188" s="41"/>
      <c r="Z188" s="41"/>
    </row>
    <row r="189" ht="15.75" customHeight="1">
      <c r="A189" s="43"/>
      <c r="B189" s="41"/>
      <c r="C189" s="41"/>
      <c r="D189" s="41"/>
      <c r="E189" s="41"/>
      <c r="F189" s="41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1"/>
      <c r="X189" s="41"/>
      <c r="Y189" s="41"/>
      <c r="Z189" s="41"/>
    </row>
    <row r="190" ht="15.75" customHeight="1">
      <c r="A190" s="43"/>
      <c r="B190" s="41"/>
      <c r="C190" s="41"/>
      <c r="D190" s="41"/>
      <c r="E190" s="41"/>
      <c r="F190" s="41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1"/>
      <c r="X190" s="41"/>
      <c r="Y190" s="41"/>
      <c r="Z190" s="41"/>
    </row>
    <row r="191" ht="15.75" customHeight="1">
      <c r="A191" s="43"/>
      <c r="B191" s="41"/>
      <c r="C191" s="41"/>
      <c r="D191" s="41"/>
      <c r="E191" s="41"/>
      <c r="F191" s="41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1"/>
      <c r="X191" s="41"/>
      <c r="Y191" s="41"/>
      <c r="Z191" s="41"/>
    </row>
    <row r="192" ht="15.75" customHeight="1">
      <c r="A192" s="43"/>
      <c r="B192" s="41"/>
      <c r="C192" s="41"/>
      <c r="D192" s="41"/>
      <c r="E192" s="41"/>
      <c r="F192" s="41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1"/>
      <c r="X192" s="41"/>
      <c r="Y192" s="41"/>
      <c r="Z192" s="41"/>
    </row>
    <row r="193" ht="15.75" customHeight="1">
      <c r="A193" s="43"/>
      <c r="B193" s="41"/>
      <c r="C193" s="41"/>
      <c r="D193" s="41"/>
      <c r="E193" s="41"/>
      <c r="F193" s="41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1"/>
      <c r="X193" s="41"/>
      <c r="Y193" s="41"/>
      <c r="Z193" s="41"/>
    </row>
    <row r="194" ht="15.75" customHeight="1">
      <c r="A194" s="43"/>
      <c r="B194" s="41"/>
      <c r="C194" s="41"/>
      <c r="D194" s="41"/>
      <c r="E194" s="41"/>
      <c r="F194" s="41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1"/>
      <c r="X194" s="41"/>
      <c r="Y194" s="41"/>
      <c r="Z194" s="41"/>
    </row>
    <row r="195" ht="15.75" customHeight="1">
      <c r="A195" s="43"/>
      <c r="B195" s="41"/>
      <c r="C195" s="41"/>
      <c r="D195" s="41"/>
      <c r="E195" s="41"/>
      <c r="F195" s="41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1"/>
      <c r="X195" s="41"/>
      <c r="Y195" s="41"/>
      <c r="Z195" s="41"/>
    </row>
    <row r="196" ht="15.75" customHeight="1">
      <c r="A196" s="43"/>
      <c r="B196" s="41"/>
      <c r="C196" s="41"/>
      <c r="D196" s="41"/>
      <c r="E196" s="41"/>
      <c r="F196" s="41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1"/>
      <c r="X196" s="41"/>
      <c r="Y196" s="41"/>
      <c r="Z196" s="41"/>
    </row>
    <row r="197" ht="15.75" customHeight="1">
      <c r="A197" s="43"/>
      <c r="B197" s="41"/>
      <c r="C197" s="41"/>
      <c r="D197" s="41"/>
      <c r="E197" s="41"/>
      <c r="F197" s="41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1"/>
      <c r="X197" s="41"/>
      <c r="Y197" s="41"/>
      <c r="Z197" s="41"/>
    </row>
    <row r="198" ht="15.75" customHeight="1">
      <c r="A198" s="43"/>
      <c r="B198" s="41"/>
      <c r="C198" s="41"/>
      <c r="D198" s="41"/>
      <c r="E198" s="41"/>
      <c r="F198" s="41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1"/>
      <c r="X198" s="41"/>
      <c r="Y198" s="41"/>
      <c r="Z198" s="41"/>
    </row>
    <row r="199" ht="15.75" customHeight="1">
      <c r="A199" s="43"/>
      <c r="B199" s="41"/>
      <c r="C199" s="41"/>
      <c r="D199" s="41"/>
      <c r="E199" s="41"/>
      <c r="F199" s="41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1"/>
      <c r="X199" s="41"/>
      <c r="Y199" s="41"/>
      <c r="Z199" s="41"/>
    </row>
    <row r="200" ht="15.75" customHeight="1">
      <c r="A200" s="43"/>
      <c r="B200" s="41"/>
      <c r="C200" s="41"/>
      <c r="D200" s="41"/>
      <c r="E200" s="41"/>
      <c r="F200" s="41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1"/>
      <c r="X200" s="41"/>
      <c r="Y200" s="41"/>
      <c r="Z200" s="41"/>
    </row>
    <row r="201" ht="15.75" customHeight="1">
      <c r="A201" s="43"/>
      <c r="B201" s="41"/>
      <c r="C201" s="41"/>
      <c r="D201" s="41"/>
      <c r="E201" s="41"/>
      <c r="F201" s="41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1"/>
      <c r="X201" s="41"/>
      <c r="Y201" s="41"/>
      <c r="Z201" s="41"/>
    </row>
    <row r="202" ht="15.75" customHeight="1">
      <c r="A202" s="43"/>
      <c r="B202" s="41"/>
      <c r="C202" s="41"/>
      <c r="D202" s="41"/>
      <c r="E202" s="41"/>
      <c r="F202" s="41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1"/>
      <c r="X202" s="41"/>
      <c r="Y202" s="41"/>
      <c r="Z202" s="41"/>
    </row>
    <row r="203" ht="15.75" customHeight="1">
      <c r="A203" s="43"/>
      <c r="B203" s="41"/>
      <c r="C203" s="41"/>
      <c r="D203" s="41"/>
      <c r="E203" s="41"/>
      <c r="F203" s="41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1"/>
      <c r="X203" s="41"/>
      <c r="Y203" s="41"/>
      <c r="Z203" s="41"/>
    </row>
    <row r="204" ht="15.75" customHeight="1">
      <c r="A204" s="43"/>
      <c r="B204" s="41"/>
      <c r="C204" s="41"/>
      <c r="D204" s="41"/>
      <c r="E204" s="41"/>
      <c r="F204" s="41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1"/>
      <c r="X204" s="41"/>
      <c r="Y204" s="41"/>
      <c r="Z204" s="41"/>
    </row>
    <row r="205" ht="15.75" customHeight="1">
      <c r="A205" s="43"/>
      <c r="B205" s="41"/>
      <c r="C205" s="41"/>
      <c r="D205" s="41"/>
      <c r="E205" s="41"/>
      <c r="F205" s="41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1"/>
      <c r="X205" s="41"/>
      <c r="Y205" s="41"/>
      <c r="Z205" s="41"/>
    </row>
    <row r="206" ht="15.75" customHeight="1">
      <c r="A206" s="43"/>
      <c r="B206" s="41"/>
      <c r="C206" s="41"/>
      <c r="D206" s="41"/>
      <c r="E206" s="41"/>
      <c r="F206" s="41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1"/>
      <c r="X206" s="41"/>
      <c r="Y206" s="41"/>
      <c r="Z206" s="41"/>
    </row>
    <row r="207" ht="15.75" customHeight="1">
      <c r="A207" s="43"/>
      <c r="B207" s="41"/>
      <c r="C207" s="41"/>
      <c r="D207" s="41"/>
      <c r="E207" s="41"/>
      <c r="F207" s="41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1"/>
      <c r="X207" s="41"/>
      <c r="Y207" s="41"/>
      <c r="Z207" s="41"/>
    </row>
    <row r="208" ht="15.75" customHeight="1">
      <c r="A208" s="43"/>
      <c r="B208" s="41"/>
      <c r="C208" s="41"/>
      <c r="D208" s="41"/>
      <c r="E208" s="41"/>
      <c r="F208" s="41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1"/>
      <c r="X208" s="41"/>
      <c r="Y208" s="41"/>
      <c r="Z208" s="41"/>
    </row>
    <row r="209" ht="15.75" customHeight="1">
      <c r="A209" s="43"/>
      <c r="B209" s="41"/>
      <c r="C209" s="41"/>
      <c r="D209" s="41"/>
      <c r="E209" s="41"/>
      <c r="F209" s="41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1"/>
      <c r="X209" s="41"/>
      <c r="Y209" s="41"/>
      <c r="Z209" s="41"/>
    </row>
    <row r="210" ht="15.75" customHeight="1">
      <c r="A210" s="43"/>
      <c r="B210" s="41"/>
      <c r="C210" s="41"/>
      <c r="D210" s="41"/>
      <c r="E210" s="41"/>
      <c r="F210" s="41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1"/>
      <c r="X210" s="41"/>
      <c r="Y210" s="41"/>
      <c r="Z210" s="41"/>
    </row>
    <row r="211" ht="15.75" customHeight="1">
      <c r="A211" s="43"/>
      <c r="B211" s="41"/>
      <c r="C211" s="41"/>
      <c r="D211" s="41"/>
      <c r="E211" s="41"/>
      <c r="F211" s="41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1"/>
      <c r="X211" s="41"/>
      <c r="Y211" s="41"/>
      <c r="Z211" s="41"/>
    </row>
    <row r="212" ht="15.75" customHeight="1">
      <c r="A212" s="43"/>
      <c r="B212" s="41"/>
      <c r="C212" s="41"/>
      <c r="D212" s="41"/>
      <c r="E212" s="41"/>
      <c r="F212" s="41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1"/>
      <c r="X212" s="41"/>
      <c r="Y212" s="41"/>
      <c r="Z212" s="41"/>
    </row>
    <row r="213" ht="15.75" customHeight="1">
      <c r="A213" s="43"/>
      <c r="B213" s="41"/>
      <c r="C213" s="41"/>
      <c r="D213" s="41"/>
      <c r="E213" s="41"/>
      <c r="F213" s="41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1"/>
      <c r="X213" s="41"/>
      <c r="Y213" s="41"/>
      <c r="Z213" s="41"/>
    </row>
    <row r="214" ht="15.75" customHeight="1">
      <c r="A214" s="43"/>
      <c r="B214" s="41"/>
      <c r="C214" s="41"/>
      <c r="D214" s="41"/>
      <c r="E214" s="41"/>
      <c r="F214" s="41"/>
      <c r="G214" s="41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1"/>
      <c r="X214" s="41"/>
      <c r="Y214" s="41"/>
      <c r="Z214" s="41"/>
    </row>
    <row r="215" ht="15.75" customHeight="1">
      <c r="A215" s="43"/>
      <c r="B215" s="41"/>
      <c r="C215" s="41"/>
      <c r="D215" s="41"/>
      <c r="E215" s="41"/>
      <c r="F215" s="41"/>
      <c r="G215" s="41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1"/>
      <c r="X215" s="41"/>
      <c r="Y215" s="41"/>
      <c r="Z215" s="41"/>
    </row>
    <row r="216" ht="15.75" customHeight="1">
      <c r="A216" s="43"/>
      <c r="B216" s="41"/>
      <c r="C216" s="41"/>
      <c r="D216" s="41"/>
      <c r="E216" s="41"/>
      <c r="F216" s="41"/>
      <c r="G216" s="41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1"/>
      <c r="X216" s="41"/>
      <c r="Y216" s="41"/>
      <c r="Z216" s="41"/>
    </row>
    <row r="217" ht="15.75" customHeight="1">
      <c r="A217" s="43"/>
      <c r="B217" s="41"/>
      <c r="C217" s="41"/>
      <c r="D217" s="41"/>
      <c r="E217" s="41"/>
      <c r="F217" s="41"/>
      <c r="G217" s="41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1"/>
      <c r="X217" s="41"/>
      <c r="Y217" s="41"/>
      <c r="Z217" s="41"/>
    </row>
    <row r="218" ht="15.75" customHeight="1">
      <c r="A218" s="43"/>
      <c r="B218" s="41"/>
      <c r="C218" s="41"/>
      <c r="D218" s="41"/>
      <c r="E218" s="41"/>
      <c r="F218" s="41"/>
      <c r="G218" s="41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1"/>
      <c r="X218" s="41"/>
      <c r="Y218" s="41"/>
      <c r="Z218" s="4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mergeCells count="24">
    <mergeCell ref="D10:D12"/>
    <mergeCell ref="E10:E12"/>
    <mergeCell ref="H2:I2"/>
    <mergeCell ref="J2:K2"/>
    <mergeCell ref="L2:M2"/>
    <mergeCell ref="N2:N3"/>
    <mergeCell ref="A10:A12"/>
    <mergeCell ref="B10:B12"/>
    <mergeCell ref="C10:C12"/>
    <mergeCell ref="H10:L10"/>
    <mergeCell ref="H11:J11"/>
    <mergeCell ref="M11:O11"/>
    <mergeCell ref="P11:P12"/>
    <mergeCell ref="Q11:Q12"/>
    <mergeCell ref="R11:T11"/>
    <mergeCell ref="U11:U12"/>
    <mergeCell ref="F10:F12"/>
    <mergeCell ref="G10:G12"/>
    <mergeCell ref="M10:Q10"/>
    <mergeCell ref="R10:V10"/>
    <mergeCell ref="W10:W12"/>
    <mergeCell ref="K11:K12"/>
    <mergeCell ref="L11:L12"/>
    <mergeCell ref="V11:V12"/>
  </mergeCells>
  <dataValidations>
    <dataValidation type="list" allowBlank="1" showErrorMessage="1" sqref="H13:I18 M13:N18 R13:S18">
      <formula1>"Passed,Failed,Blocked,Not Run"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78"/>
    <col customWidth="1" min="4" max="4" width="14.33"/>
    <col customWidth="1" min="5" max="5" width="22.33"/>
    <col customWidth="1" min="6" max="6" width="29.22"/>
    <col customWidth="1" min="7" max="7" width="33.44"/>
    <col customWidth="1" min="8" max="9" width="16.44"/>
    <col customWidth="1" min="10" max="10" width="17.33"/>
    <col customWidth="1" min="11" max="11" width="21.11"/>
    <col customWidth="1" min="12" max="12" width="13.11"/>
    <col customWidth="1" min="13" max="14" width="16.44"/>
    <col customWidth="1" min="15" max="15" width="17.33"/>
    <col customWidth="1" min="16" max="16" width="24.67"/>
    <col customWidth="1" min="17" max="17" width="13.67"/>
    <col customWidth="1" min="18" max="19" width="16.44"/>
    <col customWidth="1" min="20" max="20" width="17.33"/>
    <col customWidth="1" min="21" max="21" width="23.44"/>
    <col customWidth="1" min="22" max="22" width="13.33"/>
    <col customWidth="1" min="23" max="23" width="12.33"/>
    <col customWidth="1" min="24" max="26" width="10.56"/>
  </cols>
  <sheetData>
    <row r="1" ht="15.75" customHeight="1">
      <c r="A1" s="40" t="s">
        <v>61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1"/>
      <c r="X1" s="41"/>
      <c r="Y1" s="41"/>
      <c r="Z1" s="41"/>
    </row>
    <row r="2" ht="15.75" customHeight="1">
      <c r="A2" s="43"/>
      <c r="B2" s="41"/>
      <c r="C2" s="41"/>
      <c r="D2" s="41"/>
      <c r="E2" s="41"/>
      <c r="F2" s="41"/>
      <c r="G2" s="41"/>
      <c r="H2" s="29" t="s">
        <v>45</v>
      </c>
      <c r="I2" s="6"/>
      <c r="J2" s="29" t="s">
        <v>46</v>
      </c>
      <c r="K2" s="6"/>
      <c r="L2" s="29" t="s">
        <v>47</v>
      </c>
      <c r="M2" s="6"/>
      <c r="N2" s="28" t="s">
        <v>62</v>
      </c>
      <c r="O2" s="42"/>
      <c r="P2" s="42"/>
      <c r="Q2" s="42"/>
      <c r="R2" s="42"/>
      <c r="S2" s="42"/>
      <c r="T2" s="42"/>
      <c r="U2" s="42"/>
      <c r="V2" s="42"/>
      <c r="W2" s="41"/>
      <c r="X2" s="41"/>
      <c r="Y2" s="41"/>
      <c r="Z2" s="41"/>
    </row>
    <row r="3" ht="15.75" customHeight="1">
      <c r="A3" s="13" t="s">
        <v>24</v>
      </c>
      <c r="B3" s="13" t="s">
        <v>63</v>
      </c>
      <c r="C3" s="41"/>
      <c r="D3" s="13" t="s">
        <v>64</v>
      </c>
      <c r="E3" s="13" t="s">
        <v>65</v>
      </c>
      <c r="F3" s="41"/>
      <c r="G3" s="44"/>
      <c r="H3" s="45" t="s">
        <v>48</v>
      </c>
      <c r="I3" s="45" t="s">
        <v>49</v>
      </c>
      <c r="J3" s="45" t="s">
        <v>48</v>
      </c>
      <c r="K3" s="45" t="s">
        <v>49</v>
      </c>
      <c r="L3" s="45" t="s">
        <v>48</v>
      </c>
      <c r="M3" s="45" t="s">
        <v>49</v>
      </c>
      <c r="N3" s="34"/>
      <c r="O3" s="42"/>
      <c r="P3" s="42"/>
      <c r="Q3" s="42"/>
      <c r="R3" s="42"/>
      <c r="S3" s="42"/>
      <c r="T3" s="42"/>
      <c r="U3" s="42"/>
      <c r="V3" s="42"/>
      <c r="W3" s="41"/>
      <c r="X3" s="41"/>
      <c r="Y3" s="41"/>
      <c r="Z3" s="41"/>
    </row>
    <row r="4" ht="15.75" customHeight="1">
      <c r="A4" s="46" t="s">
        <v>12</v>
      </c>
      <c r="B4" s="18" t="s">
        <v>32</v>
      </c>
      <c r="C4" s="41"/>
      <c r="D4" s="46" t="s">
        <v>110</v>
      </c>
      <c r="E4" s="47" t="s">
        <v>67</v>
      </c>
      <c r="F4" s="41"/>
      <c r="G4" s="13" t="s">
        <v>68</v>
      </c>
      <c r="H4" s="48">
        <f t="shared" ref="H4:I4" si="1">COUNTIF(H13:H197,"PASSED")</f>
        <v>3</v>
      </c>
      <c r="I4" s="48">
        <f t="shared" si="1"/>
        <v>3</v>
      </c>
      <c r="J4" s="48">
        <f t="shared" ref="J4:K4" si="2">COUNTIF(M13:M197,"PASSED")</f>
        <v>5</v>
      </c>
      <c r="K4" s="48">
        <f t="shared" si="2"/>
        <v>5</v>
      </c>
      <c r="L4" s="48">
        <f t="shared" ref="L4:M4" si="3">COUNTIF(R13:R197,"PASSED")</f>
        <v>6</v>
      </c>
      <c r="M4" s="48">
        <f t="shared" si="3"/>
        <v>6</v>
      </c>
      <c r="N4" s="48">
        <f t="shared" ref="N4:N8" si="7">SUM(H4:M4)</f>
        <v>28</v>
      </c>
      <c r="O4" s="42"/>
      <c r="P4" s="42"/>
      <c r="Q4" s="42"/>
      <c r="R4" s="42"/>
      <c r="S4" s="42"/>
      <c r="T4" s="42"/>
      <c r="U4" s="42"/>
      <c r="V4" s="42"/>
      <c r="W4" s="41"/>
      <c r="X4" s="41"/>
      <c r="Y4" s="41"/>
      <c r="Z4" s="41"/>
    </row>
    <row r="5" ht="15.75" customHeight="1">
      <c r="A5" s="49"/>
      <c r="B5" s="49"/>
      <c r="C5" s="41"/>
      <c r="D5" s="49"/>
      <c r="E5" s="49"/>
      <c r="F5" s="41"/>
      <c r="G5" s="13" t="s">
        <v>69</v>
      </c>
      <c r="H5" s="48">
        <f t="shared" ref="H5:I5" si="4">COUNTIF(H13:H207,"FAILED")</f>
        <v>3</v>
      </c>
      <c r="I5" s="48">
        <f t="shared" si="4"/>
        <v>3</v>
      </c>
      <c r="J5" s="48">
        <f t="shared" ref="J5:K5" si="5">COUNTIF(M14:M198,"FAILED")</f>
        <v>1</v>
      </c>
      <c r="K5" s="48">
        <f t="shared" si="5"/>
        <v>1</v>
      </c>
      <c r="L5" s="48">
        <f t="shared" ref="L5:M5" si="6">COUNTIF(R14:R198,"FAILED")</f>
        <v>0</v>
      </c>
      <c r="M5" s="48">
        <f t="shared" si="6"/>
        <v>0</v>
      </c>
      <c r="N5" s="48">
        <f t="shared" si="7"/>
        <v>8</v>
      </c>
      <c r="O5" s="42"/>
      <c r="P5" s="42"/>
      <c r="Q5" s="42"/>
      <c r="R5" s="42"/>
      <c r="S5" s="42"/>
      <c r="T5" s="42"/>
      <c r="U5" s="42"/>
      <c r="V5" s="42"/>
      <c r="W5" s="41"/>
      <c r="X5" s="41"/>
      <c r="Y5" s="41"/>
      <c r="Z5" s="41"/>
    </row>
    <row r="6" ht="15.75" customHeight="1">
      <c r="A6" s="49"/>
      <c r="B6" s="49"/>
      <c r="C6" s="41"/>
      <c r="D6" s="49"/>
      <c r="E6" s="49"/>
      <c r="F6" s="41"/>
      <c r="G6" s="13" t="s">
        <v>70</v>
      </c>
      <c r="H6" s="48">
        <f t="shared" ref="H6:I6" si="8">COUNTIF(H13:H217,"BLOCKED")</f>
        <v>0</v>
      </c>
      <c r="I6" s="48">
        <f t="shared" si="8"/>
        <v>0</v>
      </c>
      <c r="J6" s="48">
        <f t="shared" ref="J6:K6" si="9">COUNTIF(M15:M199,"BLOCKED")</f>
        <v>0</v>
      </c>
      <c r="K6" s="48">
        <f t="shared" si="9"/>
        <v>0</v>
      </c>
      <c r="L6" s="48">
        <f t="shared" ref="L6:M6" si="10">COUNTIF(R15:R199,"BLOCKED")</f>
        <v>0</v>
      </c>
      <c r="M6" s="48">
        <f t="shared" si="10"/>
        <v>0</v>
      </c>
      <c r="N6" s="48">
        <f t="shared" si="7"/>
        <v>0</v>
      </c>
      <c r="O6" s="42"/>
      <c r="P6" s="42"/>
      <c r="Q6" s="42"/>
      <c r="R6" s="42"/>
      <c r="S6" s="42"/>
      <c r="T6" s="42"/>
      <c r="U6" s="42"/>
      <c r="V6" s="42"/>
      <c r="W6" s="41"/>
      <c r="X6" s="41"/>
      <c r="Y6" s="41"/>
      <c r="Z6" s="41"/>
    </row>
    <row r="7" ht="15.75" customHeight="1">
      <c r="A7" s="49"/>
      <c r="B7" s="49"/>
      <c r="C7" s="41"/>
      <c r="D7" s="49"/>
      <c r="E7" s="49"/>
      <c r="F7" s="41"/>
      <c r="G7" s="13" t="s">
        <v>71</v>
      </c>
      <c r="H7" s="48">
        <f t="shared" ref="H7:I7" si="11">COUNTIF(H13:H227,"NOT RUN")</f>
        <v>0</v>
      </c>
      <c r="I7" s="48">
        <f t="shared" si="11"/>
        <v>0</v>
      </c>
      <c r="J7" s="48">
        <f t="shared" ref="J7:K7" si="12">COUNTIF(M16:M200,"NOT RUN")</f>
        <v>0</v>
      </c>
      <c r="K7" s="48">
        <f t="shared" si="12"/>
        <v>0</v>
      </c>
      <c r="L7" s="48">
        <f t="shared" ref="L7:M7" si="13">COUNTIF(R16:R200,"NOT RUN")</f>
        <v>0</v>
      </c>
      <c r="M7" s="48">
        <f t="shared" si="13"/>
        <v>0</v>
      </c>
      <c r="N7" s="48">
        <f t="shared" si="7"/>
        <v>0</v>
      </c>
      <c r="O7" s="42"/>
      <c r="P7" s="42"/>
      <c r="Q7" s="42"/>
      <c r="R7" s="42"/>
      <c r="S7" s="42"/>
      <c r="T7" s="42"/>
      <c r="U7" s="42"/>
      <c r="V7" s="42"/>
      <c r="W7" s="41"/>
      <c r="X7" s="41"/>
      <c r="Y7" s="41"/>
      <c r="Z7" s="41"/>
    </row>
    <row r="8" ht="15.75" customHeight="1">
      <c r="A8" s="49"/>
      <c r="B8" s="49"/>
      <c r="C8" s="41"/>
      <c r="D8" s="49"/>
      <c r="E8" s="49"/>
      <c r="F8" s="41"/>
      <c r="G8" s="13" t="s">
        <v>72</v>
      </c>
      <c r="H8" s="48">
        <f t="shared" ref="H8:M8" si="14">COUNTA($G13:$G209)</f>
        <v>6</v>
      </c>
      <c r="I8" s="48">
        <f t="shared" si="14"/>
        <v>6</v>
      </c>
      <c r="J8" s="48">
        <f t="shared" si="14"/>
        <v>6</v>
      </c>
      <c r="K8" s="48">
        <f t="shared" si="14"/>
        <v>6</v>
      </c>
      <c r="L8" s="48">
        <f t="shared" si="14"/>
        <v>6</v>
      </c>
      <c r="M8" s="48">
        <f t="shared" si="14"/>
        <v>6</v>
      </c>
      <c r="N8" s="48">
        <f t="shared" si="7"/>
        <v>36</v>
      </c>
      <c r="O8" s="42"/>
      <c r="P8" s="42"/>
      <c r="Q8" s="42"/>
      <c r="R8" s="42"/>
      <c r="S8" s="42"/>
      <c r="T8" s="42"/>
      <c r="U8" s="42"/>
      <c r="V8" s="42"/>
      <c r="W8" s="41"/>
      <c r="X8" s="41"/>
      <c r="Y8" s="41"/>
      <c r="Z8" s="41"/>
    </row>
    <row r="9" ht="15.75" customHeight="1">
      <c r="A9" s="43"/>
      <c r="B9" s="41"/>
      <c r="C9" s="41"/>
      <c r="D9" s="41"/>
      <c r="E9" s="41"/>
      <c r="F9" s="41"/>
      <c r="G9" s="41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1"/>
      <c r="X9" s="41"/>
      <c r="Y9" s="41"/>
      <c r="Z9" s="41"/>
    </row>
    <row r="10" ht="15.75" customHeight="1">
      <c r="A10" s="28" t="s">
        <v>20</v>
      </c>
      <c r="B10" s="28" t="s">
        <v>73</v>
      </c>
      <c r="C10" s="28" t="s">
        <v>74</v>
      </c>
      <c r="D10" s="28" t="s">
        <v>75</v>
      </c>
      <c r="E10" s="28" t="s">
        <v>76</v>
      </c>
      <c r="F10" s="28" t="s">
        <v>77</v>
      </c>
      <c r="G10" s="28" t="s">
        <v>78</v>
      </c>
      <c r="H10" s="29" t="s">
        <v>45</v>
      </c>
      <c r="I10" s="30"/>
      <c r="J10" s="30"/>
      <c r="K10" s="30"/>
      <c r="L10" s="6"/>
      <c r="M10" s="29" t="s">
        <v>46</v>
      </c>
      <c r="N10" s="30"/>
      <c r="O10" s="30"/>
      <c r="P10" s="30"/>
      <c r="Q10" s="6"/>
      <c r="R10" s="29" t="s">
        <v>47</v>
      </c>
      <c r="S10" s="30"/>
      <c r="T10" s="30"/>
      <c r="U10" s="30"/>
      <c r="V10" s="6"/>
      <c r="W10" s="28" t="s">
        <v>27</v>
      </c>
      <c r="X10" s="12"/>
      <c r="Y10" s="12"/>
      <c r="Z10" s="12"/>
    </row>
    <row r="11" ht="15.75" customHeight="1">
      <c r="A11" s="32"/>
      <c r="B11" s="32"/>
      <c r="C11" s="32"/>
      <c r="D11" s="32"/>
      <c r="E11" s="32"/>
      <c r="F11" s="32"/>
      <c r="G11" s="32"/>
      <c r="H11" s="29" t="s">
        <v>79</v>
      </c>
      <c r="I11" s="30"/>
      <c r="J11" s="6"/>
      <c r="K11" s="28" t="s">
        <v>80</v>
      </c>
      <c r="L11" s="28" t="s">
        <v>81</v>
      </c>
      <c r="M11" s="29" t="s">
        <v>79</v>
      </c>
      <c r="N11" s="30"/>
      <c r="O11" s="6"/>
      <c r="P11" s="28" t="s">
        <v>80</v>
      </c>
      <c r="Q11" s="28" t="s">
        <v>81</v>
      </c>
      <c r="R11" s="29" t="s">
        <v>79</v>
      </c>
      <c r="S11" s="30"/>
      <c r="T11" s="6"/>
      <c r="U11" s="28" t="s">
        <v>80</v>
      </c>
      <c r="V11" s="28" t="s">
        <v>81</v>
      </c>
      <c r="W11" s="32"/>
      <c r="X11" s="41"/>
      <c r="Y11" s="41"/>
      <c r="Z11" s="41"/>
    </row>
    <row r="12" ht="15.75" customHeight="1">
      <c r="A12" s="34"/>
      <c r="B12" s="34"/>
      <c r="C12" s="34"/>
      <c r="D12" s="34"/>
      <c r="E12" s="34"/>
      <c r="F12" s="34"/>
      <c r="G12" s="34"/>
      <c r="H12" s="45" t="s">
        <v>48</v>
      </c>
      <c r="I12" s="45" t="s">
        <v>49</v>
      </c>
      <c r="J12" s="13" t="s">
        <v>82</v>
      </c>
      <c r="K12" s="34"/>
      <c r="L12" s="34"/>
      <c r="M12" s="45" t="s">
        <v>48</v>
      </c>
      <c r="N12" s="45" t="s">
        <v>49</v>
      </c>
      <c r="O12" s="13" t="s">
        <v>82</v>
      </c>
      <c r="P12" s="34"/>
      <c r="Q12" s="34"/>
      <c r="R12" s="45" t="s">
        <v>48</v>
      </c>
      <c r="S12" s="45" t="s">
        <v>49</v>
      </c>
      <c r="T12" s="13" t="s">
        <v>82</v>
      </c>
      <c r="U12" s="34"/>
      <c r="V12" s="34"/>
      <c r="W12" s="34"/>
      <c r="X12" s="41"/>
      <c r="Y12" s="41"/>
      <c r="Z12" s="41"/>
    </row>
    <row r="13">
      <c r="A13" s="17" t="str">
        <f t="shared" ref="A13:A18" si="15">"ID-00"&amp;(ROW()-(ROW($A$12)))</f>
        <v>ID-001</v>
      </c>
      <c r="B13" s="19" t="s">
        <v>83</v>
      </c>
      <c r="C13" s="17" t="s">
        <v>54</v>
      </c>
      <c r="D13" s="22" t="s">
        <v>111</v>
      </c>
      <c r="E13" s="22" t="s">
        <v>112</v>
      </c>
      <c r="F13" s="22" t="s">
        <v>113</v>
      </c>
      <c r="G13" s="22" t="s">
        <v>114</v>
      </c>
      <c r="H13" s="16" t="s">
        <v>50</v>
      </c>
      <c r="I13" s="21" t="s">
        <v>50</v>
      </c>
      <c r="J13" s="21" t="s">
        <v>88</v>
      </c>
      <c r="K13" s="35" t="s">
        <v>89</v>
      </c>
      <c r="L13" s="21" t="s">
        <v>90</v>
      </c>
      <c r="M13" s="21" t="s">
        <v>50</v>
      </c>
      <c r="N13" s="21" t="s">
        <v>50</v>
      </c>
      <c r="O13" s="21" t="s">
        <v>88</v>
      </c>
      <c r="P13" s="35" t="s">
        <v>91</v>
      </c>
      <c r="Q13" s="21" t="s">
        <v>90</v>
      </c>
      <c r="R13" s="21" t="s">
        <v>50</v>
      </c>
      <c r="S13" s="21" t="s">
        <v>50</v>
      </c>
      <c r="T13" s="21" t="s">
        <v>88</v>
      </c>
      <c r="U13" s="35" t="s">
        <v>53</v>
      </c>
      <c r="V13" s="21" t="s">
        <v>90</v>
      </c>
      <c r="W13" s="21" t="s">
        <v>92</v>
      </c>
      <c r="X13" s="41"/>
      <c r="Y13" s="41"/>
      <c r="Z13" s="41"/>
    </row>
    <row r="14">
      <c r="A14" s="17" t="str">
        <f t="shared" si="15"/>
        <v>ID-002</v>
      </c>
      <c r="B14" s="19" t="s">
        <v>83</v>
      </c>
      <c r="C14" s="17" t="s">
        <v>54</v>
      </c>
      <c r="D14" s="22" t="s">
        <v>111</v>
      </c>
      <c r="E14" s="22" t="s">
        <v>115</v>
      </c>
      <c r="F14" s="22" t="s">
        <v>116</v>
      </c>
      <c r="G14" s="22" t="s">
        <v>117</v>
      </c>
      <c r="H14" s="21" t="s">
        <v>51</v>
      </c>
      <c r="I14" s="21" t="s">
        <v>51</v>
      </c>
      <c r="J14" s="21" t="s">
        <v>118</v>
      </c>
      <c r="K14" s="35" t="s">
        <v>89</v>
      </c>
      <c r="L14" s="21" t="s">
        <v>90</v>
      </c>
      <c r="M14" s="21" t="s">
        <v>50</v>
      </c>
      <c r="N14" s="21" t="s">
        <v>50</v>
      </c>
      <c r="O14" s="21" t="s">
        <v>88</v>
      </c>
      <c r="P14" s="35" t="s">
        <v>91</v>
      </c>
      <c r="Q14" s="21" t="s">
        <v>90</v>
      </c>
      <c r="R14" s="21" t="s">
        <v>50</v>
      </c>
      <c r="S14" s="21" t="s">
        <v>50</v>
      </c>
      <c r="T14" s="21" t="s">
        <v>88</v>
      </c>
      <c r="U14" s="35" t="s">
        <v>53</v>
      </c>
      <c r="V14" s="21" t="s">
        <v>90</v>
      </c>
      <c r="W14" s="21" t="s">
        <v>92</v>
      </c>
      <c r="X14" s="41"/>
      <c r="Y14" s="41"/>
      <c r="Z14" s="41"/>
    </row>
    <row r="15">
      <c r="A15" s="17" t="str">
        <f t="shared" si="15"/>
        <v>ID-003</v>
      </c>
      <c r="B15" s="19" t="s">
        <v>83</v>
      </c>
      <c r="C15" s="17" t="s">
        <v>54</v>
      </c>
      <c r="D15" s="22" t="s">
        <v>111</v>
      </c>
      <c r="E15" s="22" t="s">
        <v>119</v>
      </c>
      <c r="F15" s="22" t="s">
        <v>120</v>
      </c>
      <c r="G15" s="22" t="s">
        <v>121</v>
      </c>
      <c r="H15" s="21" t="s">
        <v>51</v>
      </c>
      <c r="I15" s="21" t="s">
        <v>51</v>
      </c>
      <c r="J15" s="21" t="s">
        <v>122</v>
      </c>
      <c r="K15" s="35" t="s">
        <v>89</v>
      </c>
      <c r="L15" s="21" t="s">
        <v>90</v>
      </c>
      <c r="M15" s="21" t="s">
        <v>50</v>
      </c>
      <c r="N15" s="21" t="s">
        <v>50</v>
      </c>
      <c r="O15" s="21" t="s">
        <v>88</v>
      </c>
      <c r="P15" s="35" t="s">
        <v>91</v>
      </c>
      <c r="Q15" s="21" t="s">
        <v>90</v>
      </c>
      <c r="R15" s="21" t="s">
        <v>50</v>
      </c>
      <c r="S15" s="21" t="s">
        <v>50</v>
      </c>
      <c r="T15" s="21" t="s">
        <v>88</v>
      </c>
      <c r="U15" s="35" t="s">
        <v>53</v>
      </c>
      <c r="V15" s="21" t="s">
        <v>90</v>
      </c>
      <c r="W15" s="21" t="s">
        <v>92</v>
      </c>
      <c r="X15" s="41"/>
      <c r="Y15" s="41"/>
      <c r="Z15" s="41"/>
    </row>
    <row r="16">
      <c r="A16" s="17" t="str">
        <f t="shared" si="15"/>
        <v>ID-004</v>
      </c>
      <c r="B16" s="19" t="s">
        <v>83</v>
      </c>
      <c r="C16" s="17" t="s">
        <v>54</v>
      </c>
      <c r="D16" s="22" t="s">
        <v>111</v>
      </c>
      <c r="E16" s="22" t="s">
        <v>123</v>
      </c>
      <c r="F16" s="22" t="s">
        <v>124</v>
      </c>
      <c r="G16" s="22" t="s">
        <v>125</v>
      </c>
      <c r="H16" s="21" t="s">
        <v>51</v>
      </c>
      <c r="I16" s="21" t="s">
        <v>51</v>
      </c>
      <c r="J16" s="21" t="s">
        <v>126</v>
      </c>
      <c r="K16" s="35" t="s">
        <v>89</v>
      </c>
      <c r="L16" s="21" t="s">
        <v>90</v>
      </c>
      <c r="M16" s="21" t="s">
        <v>51</v>
      </c>
      <c r="N16" s="21" t="s">
        <v>51</v>
      </c>
      <c r="O16" s="21" t="s">
        <v>127</v>
      </c>
      <c r="P16" s="35" t="s">
        <v>91</v>
      </c>
      <c r="Q16" s="21" t="s">
        <v>90</v>
      </c>
      <c r="R16" s="21" t="s">
        <v>50</v>
      </c>
      <c r="S16" s="21" t="s">
        <v>50</v>
      </c>
      <c r="T16" s="21" t="s">
        <v>88</v>
      </c>
      <c r="U16" s="35" t="s">
        <v>53</v>
      </c>
      <c r="V16" s="21" t="s">
        <v>90</v>
      </c>
      <c r="W16" s="21" t="s">
        <v>92</v>
      </c>
      <c r="X16" s="41"/>
      <c r="Y16" s="41"/>
      <c r="Z16" s="41"/>
    </row>
    <row r="17">
      <c r="A17" s="17" t="str">
        <f t="shared" si="15"/>
        <v>ID-005</v>
      </c>
      <c r="B17" s="19" t="s">
        <v>83</v>
      </c>
      <c r="C17" s="17" t="s">
        <v>54</v>
      </c>
      <c r="D17" s="22" t="s">
        <v>111</v>
      </c>
      <c r="E17" s="22" t="s">
        <v>128</v>
      </c>
      <c r="F17" s="22" t="s">
        <v>129</v>
      </c>
      <c r="G17" s="22" t="s">
        <v>130</v>
      </c>
      <c r="H17" s="16" t="s">
        <v>50</v>
      </c>
      <c r="I17" s="21" t="s">
        <v>50</v>
      </c>
      <c r="J17" s="21" t="s">
        <v>88</v>
      </c>
      <c r="K17" s="35" t="s">
        <v>89</v>
      </c>
      <c r="L17" s="21" t="s">
        <v>90</v>
      </c>
      <c r="M17" s="21" t="s">
        <v>50</v>
      </c>
      <c r="N17" s="21" t="s">
        <v>50</v>
      </c>
      <c r="O17" s="21" t="s">
        <v>88</v>
      </c>
      <c r="P17" s="35" t="s">
        <v>91</v>
      </c>
      <c r="Q17" s="21" t="s">
        <v>90</v>
      </c>
      <c r="R17" s="21" t="s">
        <v>50</v>
      </c>
      <c r="S17" s="21" t="s">
        <v>50</v>
      </c>
      <c r="T17" s="21" t="s">
        <v>88</v>
      </c>
      <c r="U17" s="35" t="s">
        <v>53</v>
      </c>
      <c r="V17" s="21" t="s">
        <v>90</v>
      </c>
      <c r="W17" s="21" t="s">
        <v>92</v>
      </c>
      <c r="X17" s="41"/>
      <c r="Y17" s="41"/>
      <c r="Z17" s="41"/>
    </row>
    <row r="18">
      <c r="A18" s="17" t="str">
        <f t="shared" si="15"/>
        <v>ID-006</v>
      </c>
      <c r="B18" s="22" t="s">
        <v>101</v>
      </c>
      <c r="C18" s="20" t="s">
        <v>131</v>
      </c>
      <c r="D18" s="22" t="s">
        <v>111</v>
      </c>
      <c r="E18" s="22" t="s">
        <v>132</v>
      </c>
      <c r="F18" s="22" t="s">
        <v>133</v>
      </c>
      <c r="G18" s="22" t="s">
        <v>134</v>
      </c>
      <c r="H18" s="16" t="s">
        <v>50</v>
      </c>
      <c r="I18" s="21" t="s">
        <v>50</v>
      </c>
      <c r="J18" s="21" t="s">
        <v>88</v>
      </c>
      <c r="K18" s="35" t="s">
        <v>89</v>
      </c>
      <c r="L18" s="21" t="s">
        <v>90</v>
      </c>
      <c r="M18" s="21" t="s">
        <v>50</v>
      </c>
      <c r="N18" s="21" t="s">
        <v>50</v>
      </c>
      <c r="O18" s="21" t="s">
        <v>88</v>
      </c>
      <c r="P18" s="35" t="s">
        <v>91</v>
      </c>
      <c r="Q18" s="21" t="s">
        <v>90</v>
      </c>
      <c r="R18" s="21" t="s">
        <v>50</v>
      </c>
      <c r="S18" s="21" t="s">
        <v>50</v>
      </c>
      <c r="T18" s="21" t="s">
        <v>88</v>
      </c>
      <c r="U18" s="35" t="s">
        <v>53</v>
      </c>
      <c r="V18" s="21" t="s">
        <v>90</v>
      </c>
      <c r="W18" s="21" t="s">
        <v>92</v>
      </c>
      <c r="X18" s="41"/>
      <c r="Y18" s="41"/>
      <c r="Z18" s="41"/>
    </row>
    <row r="19" ht="15.75" customHeight="1">
      <c r="A19" s="43"/>
      <c r="B19" s="41"/>
      <c r="C19" s="41"/>
      <c r="D19" s="41"/>
      <c r="E19" s="41"/>
      <c r="F19" s="41"/>
      <c r="G19" s="41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1"/>
      <c r="X19" s="41"/>
      <c r="Y19" s="41"/>
      <c r="Z19" s="41"/>
    </row>
    <row r="20" ht="15.75" customHeight="1">
      <c r="A20" s="43"/>
      <c r="B20" s="41"/>
      <c r="C20" s="41"/>
      <c r="D20" s="41"/>
      <c r="E20" s="41"/>
      <c r="F20" s="41"/>
      <c r="G20" s="41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1"/>
      <c r="X20" s="41"/>
      <c r="Y20" s="41"/>
      <c r="Z20" s="41"/>
    </row>
    <row r="21" ht="15.75" customHeight="1">
      <c r="A21" s="43"/>
      <c r="B21" s="41"/>
      <c r="C21" s="41"/>
      <c r="D21" s="41"/>
      <c r="E21" s="41"/>
      <c r="F21" s="41"/>
      <c r="G21" s="41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1"/>
      <c r="X21" s="41"/>
      <c r="Y21" s="41"/>
      <c r="Z21" s="41"/>
    </row>
    <row r="22" ht="15.75" customHeight="1">
      <c r="A22" s="43"/>
      <c r="B22" s="41"/>
      <c r="C22" s="41"/>
      <c r="D22" s="41"/>
      <c r="E22" s="41"/>
      <c r="F22" s="41"/>
      <c r="G22" s="41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1"/>
      <c r="X22" s="41"/>
      <c r="Y22" s="41"/>
      <c r="Z22" s="41"/>
    </row>
    <row r="23" ht="15.75" customHeight="1">
      <c r="A23" s="43"/>
      <c r="B23" s="41"/>
      <c r="C23" s="41"/>
      <c r="D23" s="41"/>
      <c r="E23" s="41"/>
      <c r="F23" s="41"/>
      <c r="G23" s="41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1"/>
      <c r="X23" s="41"/>
      <c r="Y23" s="41"/>
      <c r="Z23" s="41"/>
    </row>
    <row r="24" ht="15.75" customHeight="1">
      <c r="A24" s="43"/>
      <c r="B24" s="41"/>
      <c r="C24" s="41"/>
      <c r="D24" s="41"/>
      <c r="E24" s="41"/>
      <c r="F24" s="41"/>
      <c r="G24" s="41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1"/>
      <c r="X24" s="41"/>
      <c r="Y24" s="41"/>
      <c r="Z24" s="41"/>
    </row>
    <row r="25" ht="15.75" customHeight="1">
      <c r="A25" s="43"/>
      <c r="B25" s="41"/>
      <c r="C25" s="41"/>
      <c r="D25" s="41"/>
      <c r="E25" s="41"/>
      <c r="F25" s="41"/>
      <c r="G25" s="41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1"/>
      <c r="X25" s="41"/>
      <c r="Y25" s="41"/>
      <c r="Z25" s="41"/>
    </row>
    <row r="26" ht="15.75" customHeight="1">
      <c r="A26" s="43"/>
      <c r="B26" s="41"/>
      <c r="C26" s="41"/>
      <c r="D26" s="41"/>
      <c r="E26" s="41"/>
      <c r="F26" s="41"/>
      <c r="G26" s="41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1"/>
      <c r="X26" s="41"/>
      <c r="Y26" s="41"/>
      <c r="Z26" s="41"/>
    </row>
    <row r="27" ht="15.75" customHeight="1">
      <c r="A27" s="43"/>
      <c r="B27" s="41"/>
      <c r="C27" s="41"/>
      <c r="D27" s="41"/>
      <c r="E27" s="41"/>
      <c r="F27" s="41"/>
      <c r="G27" s="41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1"/>
      <c r="X27" s="41"/>
      <c r="Y27" s="41"/>
      <c r="Z27" s="41"/>
    </row>
    <row r="28" ht="15.75" customHeight="1">
      <c r="A28" s="43"/>
      <c r="B28" s="41"/>
      <c r="C28" s="41"/>
      <c r="D28" s="41"/>
      <c r="E28" s="41"/>
      <c r="F28" s="41"/>
      <c r="G28" s="41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1"/>
      <c r="X28" s="41"/>
      <c r="Y28" s="41"/>
      <c r="Z28" s="41"/>
    </row>
    <row r="29" ht="15.75" customHeight="1">
      <c r="A29" s="43"/>
      <c r="B29" s="41"/>
      <c r="C29" s="41"/>
      <c r="D29" s="41"/>
      <c r="E29" s="41"/>
      <c r="F29" s="41"/>
      <c r="G29" s="41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1"/>
      <c r="X29" s="41"/>
      <c r="Y29" s="41"/>
      <c r="Z29" s="41"/>
    </row>
    <row r="30" ht="15.75" customHeight="1">
      <c r="A30" s="43"/>
      <c r="B30" s="41"/>
      <c r="C30" s="41"/>
      <c r="D30" s="41"/>
      <c r="E30" s="41"/>
      <c r="F30" s="41"/>
      <c r="G30" s="41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1"/>
      <c r="X30" s="41"/>
      <c r="Y30" s="41"/>
      <c r="Z30" s="41"/>
    </row>
    <row r="31" ht="15.75" customHeight="1">
      <c r="A31" s="43"/>
      <c r="B31" s="41"/>
      <c r="C31" s="41"/>
      <c r="D31" s="41"/>
      <c r="E31" s="41"/>
      <c r="F31" s="41"/>
      <c r="G31" s="4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1"/>
      <c r="X31" s="41"/>
      <c r="Y31" s="41"/>
      <c r="Z31" s="41"/>
    </row>
    <row r="32" ht="15.75" customHeight="1">
      <c r="A32" s="43"/>
      <c r="B32" s="41"/>
      <c r="C32" s="41"/>
      <c r="D32" s="41"/>
      <c r="E32" s="41"/>
      <c r="F32" s="41"/>
      <c r="G32" s="41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1"/>
      <c r="X32" s="41"/>
      <c r="Y32" s="41"/>
      <c r="Z32" s="41"/>
    </row>
    <row r="33" ht="15.75" customHeight="1">
      <c r="A33" s="43"/>
      <c r="B33" s="41"/>
      <c r="C33" s="41"/>
      <c r="D33" s="41"/>
      <c r="E33" s="41"/>
      <c r="F33" s="41"/>
      <c r="G33" s="41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1"/>
      <c r="X33" s="41"/>
      <c r="Y33" s="41"/>
      <c r="Z33" s="41"/>
    </row>
    <row r="34" ht="15.75" customHeight="1">
      <c r="A34" s="43"/>
      <c r="B34" s="41"/>
      <c r="C34" s="41"/>
      <c r="D34" s="41"/>
      <c r="E34" s="41"/>
      <c r="F34" s="41"/>
      <c r="G34" s="41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1"/>
      <c r="X34" s="41"/>
      <c r="Y34" s="41"/>
      <c r="Z34" s="41"/>
    </row>
    <row r="35" ht="15.75" customHeight="1">
      <c r="A35" s="43"/>
      <c r="B35" s="41"/>
      <c r="C35" s="41"/>
      <c r="D35" s="41"/>
      <c r="E35" s="41"/>
      <c r="F35" s="41"/>
      <c r="G35" s="41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1"/>
      <c r="X35" s="41"/>
      <c r="Y35" s="41"/>
      <c r="Z35" s="41"/>
    </row>
    <row r="36" ht="15.75" customHeight="1">
      <c r="A36" s="43"/>
      <c r="B36" s="41"/>
      <c r="C36" s="41"/>
      <c r="D36" s="41"/>
      <c r="E36" s="41"/>
      <c r="F36" s="41"/>
      <c r="G36" s="41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1"/>
      <c r="X36" s="41"/>
      <c r="Y36" s="41"/>
      <c r="Z36" s="41"/>
    </row>
    <row r="37" ht="15.75" customHeight="1">
      <c r="A37" s="43"/>
      <c r="B37" s="41"/>
      <c r="C37" s="41"/>
      <c r="D37" s="41"/>
      <c r="E37" s="41"/>
      <c r="F37" s="41"/>
      <c r="G37" s="41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1"/>
      <c r="X37" s="41"/>
      <c r="Y37" s="41"/>
      <c r="Z37" s="41"/>
    </row>
    <row r="38" ht="15.75" customHeight="1">
      <c r="A38" s="43"/>
      <c r="B38" s="41"/>
      <c r="C38" s="41"/>
      <c r="D38" s="41"/>
      <c r="E38" s="41"/>
      <c r="F38" s="41"/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1"/>
      <c r="X38" s="41"/>
      <c r="Y38" s="41"/>
      <c r="Z38" s="41"/>
    </row>
    <row r="39" ht="15.75" customHeight="1">
      <c r="A39" s="43"/>
      <c r="B39" s="41"/>
      <c r="C39" s="41"/>
      <c r="D39" s="41"/>
      <c r="E39" s="41"/>
      <c r="F39" s="41"/>
      <c r="G39" s="41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1"/>
      <c r="X39" s="41"/>
      <c r="Y39" s="41"/>
      <c r="Z39" s="41"/>
    </row>
    <row r="40" ht="15.75" customHeight="1">
      <c r="A40" s="43"/>
      <c r="B40" s="41"/>
      <c r="C40" s="41"/>
      <c r="D40" s="41"/>
      <c r="E40" s="41"/>
      <c r="F40" s="41"/>
      <c r="G40" s="41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1"/>
      <c r="X40" s="41"/>
      <c r="Y40" s="41"/>
      <c r="Z40" s="41"/>
    </row>
    <row r="41" ht="15.75" customHeight="1">
      <c r="A41" s="43"/>
      <c r="B41" s="41"/>
      <c r="C41" s="41"/>
      <c r="D41" s="41"/>
      <c r="E41" s="4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1"/>
      <c r="X41" s="41"/>
      <c r="Y41" s="41"/>
      <c r="Z41" s="41"/>
    </row>
    <row r="42" ht="15.75" customHeight="1">
      <c r="A42" s="43"/>
      <c r="B42" s="41"/>
      <c r="C42" s="41"/>
      <c r="D42" s="41"/>
      <c r="E42" s="41"/>
      <c r="F42" s="41"/>
      <c r="G42" s="41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1"/>
      <c r="X42" s="41"/>
      <c r="Y42" s="41"/>
      <c r="Z42" s="41"/>
    </row>
    <row r="43" ht="15.75" customHeight="1">
      <c r="A43" s="43"/>
      <c r="B43" s="41"/>
      <c r="C43" s="41"/>
      <c r="D43" s="41"/>
      <c r="E43" s="41"/>
      <c r="F43" s="41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1"/>
      <c r="X43" s="41"/>
      <c r="Y43" s="41"/>
      <c r="Z43" s="41"/>
    </row>
    <row r="44" ht="15.75" customHeight="1">
      <c r="A44" s="43"/>
      <c r="B44" s="41"/>
      <c r="C44" s="41"/>
      <c r="D44" s="41"/>
      <c r="E44" s="41"/>
      <c r="F44" s="41"/>
      <c r="G44" s="41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1"/>
      <c r="X44" s="41"/>
      <c r="Y44" s="41"/>
      <c r="Z44" s="41"/>
    </row>
    <row r="45" ht="15.75" customHeight="1">
      <c r="A45" s="43"/>
      <c r="B45" s="41"/>
      <c r="C45" s="41"/>
      <c r="D45" s="41"/>
      <c r="E45" s="4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1"/>
      <c r="X45" s="41"/>
      <c r="Y45" s="41"/>
      <c r="Z45" s="41"/>
    </row>
    <row r="46" ht="15.75" customHeight="1">
      <c r="A46" s="43"/>
      <c r="B46" s="41"/>
      <c r="C46" s="41"/>
      <c r="D46" s="41"/>
      <c r="E46" s="41"/>
      <c r="F46" s="41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1"/>
      <c r="X46" s="41"/>
      <c r="Y46" s="41"/>
      <c r="Z46" s="41"/>
    </row>
    <row r="47" ht="15.75" customHeight="1">
      <c r="A47" s="43"/>
      <c r="B47" s="41"/>
      <c r="C47" s="41"/>
      <c r="D47" s="41"/>
      <c r="E47" s="41"/>
      <c r="F47" s="41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1"/>
      <c r="X47" s="41"/>
      <c r="Y47" s="41"/>
      <c r="Z47" s="41"/>
    </row>
    <row r="48" ht="15.75" customHeight="1">
      <c r="A48" s="43"/>
      <c r="B48" s="41"/>
      <c r="C48" s="41"/>
      <c r="D48" s="41"/>
      <c r="E48" s="41"/>
      <c r="F48" s="41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1"/>
      <c r="X48" s="41"/>
      <c r="Y48" s="41"/>
      <c r="Z48" s="41"/>
    </row>
    <row r="49" ht="15.75" customHeight="1">
      <c r="A49" s="43"/>
      <c r="B49" s="41"/>
      <c r="C49" s="41"/>
      <c r="D49" s="41"/>
      <c r="E49" s="41"/>
      <c r="F49" s="41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1"/>
      <c r="X49" s="41"/>
      <c r="Y49" s="41"/>
      <c r="Z49" s="41"/>
    </row>
    <row r="50" ht="15.75" customHeight="1">
      <c r="A50" s="43"/>
      <c r="B50" s="41"/>
      <c r="C50" s="41"/>
      <c r="D50" s="41"/>
      <c r="E50" s="41"/>
      <c r="F50" s="41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1"/>
      <c r="X50" s="41"/>
      <c r="Y50" s="41"/>
      <c r="Z50" s="41"/>
    </row>
    <row r="51" ht="15.75" customHeight="1">
      <c r="A51" s="43"/>
      <c r="B51" s="41"/>
      <c r="C51" s="41"/>
      <c r="D51" s="41"/>
      <c r="E51" s="41"/>
      <c r="F51" s="41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1"/>
      <c r="X51" s="41"/>
      <c r="Y51" s="41"/>
      <c r="Z51" s="41"/>
    </row>
    <row r="52" ht="15.75" customHeight="1">
      <c r="A52" s="43"/>
      <c r="B52" s="41"/>
      <c r="C52" s="41"/>
      <c r="D52" s="41"/>
      <c r="E52" s="41"/>
      <c r="F52" s="41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1"/>
      <c r="X52" s="41"/>
      <c r="Y52" s="41"/>
      <c r="Z52" s="41"/>
    </row>
    <row r="53" ht="15.75" customHeight="1">
      <c r="A53" s="43"/>
      <c r="B53" s="41"/>
      <c r="C53" s="41"/>
      <c r="D53" s="41"/>
      <c r="E53" s="41"/>
      <c r="F53" s="41"/>
      <c r="G53" s="41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1"/>
      <c r="X53" s="41"/>
      <c r="Y53" s="41"/>
      <c r="Z53" s="41"/>
    </row>
    <row r="54" ht="15.75" customHeight="1">
      <c r="A54" s="43"/>
      <c r="B54" s="41"/>
      <c r="C54" s="41"/>
      <c r="D54" s="41"/>
      <c r="E54" s="41"/>
      <c r="F54" s="41"/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1"/>
      <c r="X54" s="41"/>
      <c r="Y54" s="41"/>
      <c r="Z54" s="41"/>
    </row>
    <row r="55" ht="15.75" customHeight="1">
      <c r="A55" s="43"/>
      <c r="B55" s="41"/>
      <c r="C55" s="41"/>
      <c r="D55" s="41"/>
      <c r="E55" s="41"/>
      <c r="F55" s="41"/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1"/>
      <c r="X55" s="41"/>
      <c r="Y55" s="41"/>
      <c r="Z55" s="41"/>
    </row>
    <row r="56" ht="15.75" customHeight="1">
      <c r="A56" s="43"/>
      <c r="B56" s="41"/>
      <c r="C56" s="41"/>
      <c r="D56" s="41"/>
      <c r="E56" s="41"/>
      <c r="F56" s="41"/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1"/>
      <c r="X56" s="41"/>
      <c r="Y56" s="41"/>
      <c r="Z56" s="41"/>
    </row>
    <row r="57" ht="15.75" customHeight="1">
      <c r="A57" s="43"/>
      <c r="B57" s="41"/>
      <c r="C57" s="41"/>
      <c r="D57" s="41"/>
      <c r="E57" s="4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1"/>
      <c r="X57" s="41"/>
      <c r="Y57" s="41"/>
      <c r="Z57" s="41"/>
    </row>
    <row r="58" ht="15.75" customHeight="1">
      <c r="A58" s="43"/>
      <c r="B58" s="41"/>
      <c r="C58" s="41"/>
      <c r="D58" s="41"/>
      <c r="E58" s="41"/>
      <c r="F58" s="41"/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1"/>
      <c r="X58" s="41"/>
      <c r="Y58" s="41"/>
      <c r="Z58" s="41"/>
    </row>
    <row r="59" ht="15.75" customHeight="1">
      <c r="A59" s="43"/>
      <c r="B59" s="41"/>
      <c r="C59" s="41"/>
      <c r="D59" s="41"/>
      <c r="E59" s="41"/>
      <c r="F59" s="41"/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1"/>
      <c r="X59" s="41"/>
      <c r="Y59" s="41"/>
      <c r="Z59" s="41"/>
    </row>
    <row r="60" ht="15.75" customHeight="1">
      <c r="A60" s="43"/>
      <c r="B60" s="41"/>
      <c r="C60" s="41"/>
      <c r="D60" s="41"/>
      <c r="E60" s="41"/>
      <c r="F60" s="41"/>
      <c r="G60" s="41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1"/>
      <c r="X60" s="41"/>
      <c r="Y60" s="41"/>
      <c r="Z60" s="41"/>
    </row>
    <row r="61" ht="15.75" customHeight="1">
      <c r="A61" s="43"/>
      <c r="B61" s="41"/>
      <c r="C61" s="41"/>
      <c r="D61" s="41"/>
      <c r="E61" s="41"/>
      <c r="F61" s="41"/>
      <c r="G61" s="41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1"/>
      <c r="X61" s="41"/>
      <c r="Y61" s="41"/>
      <c r="Z61" s="41"/>
    </row>
    <row r="62" ht="15.75" customHeight="1">
      <c r="A62" s="43"/>
      <c r="B62" s="41"/>
      <c r="C62" s="41"/>
      <c r="D62" s="41"/>
      <c r="E62" s="41"/>
      <c r="F62" s="41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1"/>
      <c r="X62" s="41"/>
      <c r="Y62" s="41"/>
      <c r="Z62" s="41"/>
    </row>
    <row r="63" ht="15.75" customHeight="1">
      <c r="A63" s="43"/>
      <c r="B63" s="41"/>
      <c r="C63" s="41"/>
      <c r="D63" s="41"/>
      <c r="E63" s="41"/>
      <c r="F63" s="41"/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1"/>
      <c r="X63" s="41"/>
      <c r="Y63" s="41"/>
      <c r="Z63" s="41"/>
    </row>
    <row r="64" ht="15.75" customHeight="1">
      <c r="A64" s="43"/>
      <c r="B64" s="41"/>
      <c r="C64" s="41"/>
      <c r="D64" s="41"/>
      <c r="E64" s="41"/>
      <c r="F64" s="41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1"/>
      <c r="X64" s="41"/>
      <c r="Y64" s="41"/>
      <c r="Z64" s="41"/>
    </row>
    <row r="65" ht="15.75" customHeight="1">
      <c r="A65" s="43"/>
      <c r="B65" s="41"/>
      <c r="C65" s="41"/>
      <c r="D65" s="41"/>
      <c r="E65" s="41"/>
      <c r="F65" s="41"/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1"/>
      <c r="X65" s="41"/>
      <c r="Y65" s="41"/>
      <c r="Z65" s="41"/>
    </row>
    <row r="66" ht="15.75" customHeight="1">
      <c r="A66" s="43"/>
      <c r="B66" s="41"/>
      <c r="C66" s="41"/>
      <c r="D66" s="41"/>
      <c r="E66" s="4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1"/>
      <c r="X66" s="41"/>
      <c r="Y66" s="41"/>
      <c r="Z66" s="41"/>
    </row>
    <row r="67" ht="15.75" customHeight="1">
      <c r="A67" s="43"/>
      <c r="B67" s="41"/>
      <c r="C67" s="41"/>
      <c r="D67" s="41"/>
      <c r="E67" s="41"/>
      <c r="F67" s="41"/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1"/>
      <c r="X67" s="41"/>
      <c r="Y67" s="41"/>
      <c r="Z67" s="41"/>
    </row>
    <row r="68" ht="15.75" customHeight="1">
      <c r="A68" s="43"/>
      <c r="B68" s="41"/>
      <c r="C68" s="41"/>
      <c r="D68" s="41"/>
      <c r="E68" s="41"/>
      <c r="F68" s="41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1"/>
      <c r="X68" s="41"/>
      <c r="Y68" s="41"/>
      <c r="Z68" s="41"/>
    </row>
    <row r="69" ht="15.75" customHeight="1">
      <c r="A69" s="43"/>
      <c r="B69" s="41"/>
      <c r="C69" s="41"/>
      <c r="D69" s="41"/>
      <c r="E69" s="41"/>
      <c r="F69" s="41"/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1"/>
      <c r="X69" s="41"/>
      <c r="Y69" s="41"/>
      <c r="Z69" s="41"/>
    </row>
    <row r="70" ht="15.75" customHeight="1">
      <c r="A70" s="43"/>
      <c r="B70" s="41"/>
      <c r="C70" s="41"/>
      <c r="D70" s="41"/>
      <c r="E70" s="41"/>
      <c r="F70" s="41"/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1"/>
      <c r="X70" s="41"/>
      <c r="Y70" s="41"/>
      <c r="Z70" s="41"/>
    </row>
    <row r="71" ht="15.75" customHeight="1">
      <c r="A71" s="43"/>
      <c r="B71" s="41"/>
      <c r="C71" s="41"/>
      <c r="D71" s="41"/>
      <c r="E71" s="41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1"/>
      <c r="X71" s="41"/>
      <c r="Y71" s="41"/>
      <c r="Z71" s="41"/>
    </row>
    <row r="72" ht="15.75" customHeight="1">
      <c r="A72" s="43"/>
      <c r="B72" s="41"/>
      <c r="C72" s="41"/>
      <c r="D72" s="41"/>
      <c r="E72" s="41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1"/>
      <c r="X72" s="41"/>
      <c r="Y72" s="41"/>
      <c r="Z72" s="41"/>
    </row>
    <row r="73" ht="15.75" customHeight="1">
      <c r="A73" s="43"/>
      <c r="B73" s="41"/>
      <c r="C73" s="41"/>
      <c r="D73" s="41"/>
      <c r="E73" s="41"/>
      <c r="F73" s="41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1"/>
      <c r="X73" s="41"/>
      <c r="Y73" s="41"/>
      <c r="Z73" s="41"/>
    </row>
    <row r="74" ht="15.75" customHeight="1">
      <c r="A74" s="43"/>
      <c r="B74" s="41"/>
      <c r="C74" s="41"/>
      <c r="D74" s="41"/>
      <c r="E74" s="41"/>
      <c r="F74" s="41"/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1"/>
      <c r="X74" s="41"/>
      <c r="Y74" s="41"/>
      <c r="Z74" s="41"/>
    </row>
    <row r="75" ht="15.75" customHeight="1">
      <c r="A75" s="43"/>
      <c r="B75" s="41"/>
      <c r="C75" s="41"/>
      <c r="D75" s="41"/>
      <c r="E75" s="41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1"/>
      <c r="X75" s="41"/>
      <c r="Y75" s="41"/>
      <c r="Z75" s="41"/>
    </row>
    <row r="76" ht="15.75" customHeight="1">
      <c r="A76" s="43"/>
      <c r="B76" s="41"/>
      <c r="C76" s="41"/>
      <c r="D76" s="41"/>
      <c r="E76" s="41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1"/>
      <c r="X76" s="41"/>
      <c r="Y76" s="41"/>
      <c r="Z76" s="41"/>
    </row>
    <row r="77" ht="15.75" customHeight="1">
      <c r="A77" s="43"/>
      <c r="B77" s="41"/>
      <c r="C77" s="41"/>
      <c r="D77" s="41"/>
      <c r="E77" s="41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1"/>
      <c r="X77" s="41"/>
      <c r="Y77" s="41"/>
      <c r="Z77" s="41"/>
    </row>
    <row r="78" ht="15.75" customHeight="1">
      <c r="A78" s="43"/>
      <c r="B78" s="41"/>
      <c r="C78" s="41"/>
      <c r="D78" s="41"/>
      <c r="E78" s="41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1"/>
      <c r="X78" s="41"/>
      <c r="Y78" s="41"/>
      <c r="Z78" s="41"/>
    </row>
    <row r="79" ht="15.75" customHeight="1">
      <c r="A79" s="43"/>
      <c r="B79" s="41"/>
      <c r="C79" s="41"/>
      <c r="D79" s="41"/>
      <c r="E79" s="41"/>
      <c r="F79" s="4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1"/>
      <c r="X79" s="41"/>
      <c r="Y79" s="41"/>
      <c r="Z79" s="41"/>
    </row>
    <row r="80" ht="15.75" customHeight="1">
      <c r="A80" s="43"/>
      <c r="B80" s="41"/>
      <c r="C80" s="41"/>
      <c r="D80" s="41"/>
      <c r="E80" s="4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1"/>
      <c r="X80" s="41"/>
      <c r="Y80" s="41"/>
      <c r="Z80" s="41"/>
    </row>
    <row r="81" ht="15.75" customHeight="1">
      <c r="A81" s="43"/>
      <c r="B81" s="41"/>
      <c r="C81" s="41"/>
      <c r="D81" s="41"/>
      <c r="E81" s="41"/>
      <c r="F81" s="41"/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1"/>
      <c r="X81" s="41"/>
      <c r="Y81" s="41"/>
      <c r="Z81" s="41"/>
    </row>
    <row r="82" ht="15.75" customHeight="1">
      <c r="A82" s="43"/>
      <c r="B82" s="41"/>
      <c r="C82" s="41"/>
      <c r="D82" s="41"/>
      <c r="E82" s="4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1"/>
      <c r="X82" s="41"/>
      <c r="Y82" s="41"/>
      <c r="Z82" s="41"/>
    </row>
    <row r="83" ht="15.75" customHeight="1">
      <c r="A83" s="43"/>
      <c r="B83" s="41"/>
      <c r="C83" s="41"/>
      <c r="D83" s="41"/>
      <c r="E83" s="4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1"/>
      <c r="X83" s="41"/>
      <c r="Y83" s="41"/>
      <c r="Z83" s="41"/>
    </row>
    <row r="84" ht="15.75" customHeight="1">
      <c r="A84" s="43"/>
      <c r="B84" s="41"/>
      <c r="C84" s="41"/>
      <c r="D84" s="41"/>
      <c r="E84" s="4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1"/>
      <c r="X84" s="41"/>
      <c r="Y84" s="41"/>
      <c r="Z84" s="41"/>
    </row>
    <row r="85" ht="15.75" customHeight="1">
      <c r="A85" s="43"/>
      <c r="B85" s="41"/>
      <c r="C85" s="41"/>
      <c r="D85" s="41"/>
      <c r="E85" s="41"/>
      <c r="F85" s="41"/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1"/>
      <c r="X85" s="41"/>
      <c r="Y85" s="41"/>
      <c r="Z85" s="41"/>
    </row>
    <row r="86" ht="15.75" customHeight="1">
      <c r="A86" s="43"/>
      <c r="B86" s="41"/>
      <c r="C86" s="41"/>
      <c r="D86" s="41"/>
      <c r="E86" s="41"/>
      <c r="F86" s="41"/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1"/>
      <c r="X86" s="41"/>
      <c r="Y86" s="41"/>
      <c r="Z86" s="41"/>
    </row>
    <row r="87" ht="15.75" customHeight="1">
      <c r="A87" s="43"/>
      <c r="B87" s="41"/>
      <c r="C87" s="41"/>
      <c r="D87" s="41"/>
      <c r="E87" s="41"/>
      <c r="F87" s="4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1"/>
      <c r="X87" s="41"/>
      <c r="Y87" s="41"/>
      <c r="Z87" s="41"/>
    </row>
    <row r="88" ht="15.75" customHeight="1">
      <c r="A88" s="43"/>
      <c r="B88" s="41"/>
      <c r="C88" s="41"/>
      <c r="D88" s="41"/>
      <c r="E88" s="41"/>
      <c r="F88" s="41"/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1"/>
      <c r="X88" s="41"/>
      <c r="Y88" s="41"/>
      <c r="Z88" s="41"/>
    </row>
    <row r="89" ht="15.75" customHeight="1">
      <c r="A89" s="43"/>
      <c r="B89" s="41"/>
      <c r="C89" s="41"/>
      <c r="D89" s="41"/>
      <c r="E89" s="4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1"/>
      <c r="X89" s="41"/>
      <c r="Y89" s="41"/>
      <c r="Z89" s="41"/>
    </row>
    <row r="90" ht="15.75" customHeight="1">
      <c r="A90" s="43"/>
      <c r="B90" s="41"/>
      <c r="C90" s="41"/>
      <c r="D90" s="41"/>
      <c r="E90" s="41"/>
      <c r="F90" s="41"/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1"/>
      <c r="X90" s="41"/>
      <c r="Y90" s="41"/>
      <c r="Z90" s="41"/>
    </row>
    <row r="91" ht="15.75" customHeight="1">
      <c r="A91" s="43"/>
      <c r="B91" s="41"/>
      <c r="C91" s="41"/>
      <c r="D91" s="41"/>
      <c r="E91" s="41"/>
      <c r="F91" s="41"/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1"/>
      <c r="X91" s="41"/>
      <c r="Y91" s="41"/>
      <c r="Z91" s="41"/>
    </row>
    <row r="92" ht="15.75" customHeight="1">
      <c r="A92" s="43"/>
      <c r="B92" s="41"/>
      <c r="C92" s="41"/>
      <c r="D92" s="41"/>
      <c r="E92" s="41"/>
      <c r="F92" s="41"/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1"/>
      <c r="X92" s="41"/>
      <c r="Y92" s="41"/>
      <c r="Z92" s="41"/>
    </row>
    <row r="93" ht="15.75" customHeight="1">
      <c r="A93" s="43"/>
      <c r="B93" s="41"/>
      <c r="C93" s="41"/>
      <c r="D93" s="41"/>
      <c r="E93" s="41"/>
      <c r="F93" s="41"/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1"/>
      <c r="X93" s="41"/>
      <c r="Y93" s="41"/>
      <c r="Z93" s="41"/>
    </row>
    <row r="94" ht="15.75" customHeight="1">
      <c r="A94" s="43"/>
      <c r="B94" s="41"/>
      <c r="C94" s="41"/>
      <c r="D94" s="41"/>
      <c r="E94" s="41"/>
      <c r="F94" s="41"/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1"/>
      <c r="X94" s="41"/>
      <c r="Y94" s="41"/>
      <c r="Z94" s="41"/>
    </row>
    <row r="95" ht="15.75" customHeight="1">
      <c r="A95" s="43"/>
      <c r="B95" s="41"/>
      <c r="C95" s="41"/>
      <c r="D95" s="41"/>
      <c r="E95" s="41"/>
      <c r="F95" s="41"/>
      <c r="G95" s="41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1"/>
      <c r="X95" s="41"/>
      <c r="Y95" s="41"/>
      <c r="Z95" s="41"/>
    </row>
    <row r="96" ht="15.75" customHeight="1">
      <c r="A96" s="43"/>
      <c r="B96" s="41"/>
      <c r="C96" s="41"/>
      <c r="D96" s="41"/>
      <c r="E96" s="41"/>
      <c r="F96" s="41"/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1"/>
      <c r="X96" s="41"/>
      <c r="Y96" s="41"/>
      <c r="Z96" s="41"/>
    </row>
    <row r="97" ht="15.75" customHeight="1">
      <c r="A97" s="43"/>
      <c r="B97" s="41"/>
      <c r="C97" s="41"/>
      <c r="D97" s="41"/>
      <c r="E97" s="41"/>
      <c r="F97" s="41"/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1"/>
      <c r="X97" s="41"/>
      <c r="Y97" s="41"/>
      <c r="Z97" s="41"/>
    </row>
    <row r="98" ht="15.75" customHeight="1">
      <c r="A98" s="43"/>
      <c r="B98" s="41"/>
      <c r="C98" s="41"/>
      <c r="D98" s="41"/>
      <c r="E98" s="41"/>
      <c r="F98" s="41"/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1"/>
      <c r="X98" s="41"/>
      <c r="Y98" s="41"/>
      <c r="Z98" s="41"/>
    </row>
    <row r="99" ht="15.75" customHeight="1">
      <c r="A99" s="43"/>
      <c r="B99" s="41"/>
      <c r="C99" s="41"/>
      <c r="D99" s="41"/>
      <c r="E99" s="41"/>
      <c r="F99" s="41"/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1"/>
      <c r="X99" s="41"/>
      <c r="Y99" s="41"/>
      <c r="Z99" s="41"/>
    </row>
    <row r="100" ht="15.75" customHeight="1">
      <c r="A100" s="43"/>
      <c r="B100" s="41"/>
      <c r="C100" s="41"/>
      <c r="D100" s="41"/>
      <c r="E100" s="41"/>
      <c r="F100" s="41"/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1"/>
      <c r="X100" s="41"/>
      <c r="Y100" s="41"/>
      <c r="Z100" s="41"/>
    </row>
    <row r="101" ht="15.75" customHeight="1">
      <c r="A101" s="43"/>
      <c r="B101" s="41"/>
      <c r="C101" s="41"/>
      <c r="D101" s="41"/>
      <c r="E101" s="41"/>
      <c r="F101" s="41"/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1"/>
      <c r="X101" s="41"/>
      <c r="Y101" s="41"/>
      <c r="Z101" s="41"/>
    </row>
    <row r="102" ht="15.75" customHeight="1">
      <c r="A102" s="43"/>
      <c r="B102" s="41"/>
      <c r="C102" s="41"/>
      <c r="D102" s="41"/>
      <c r="E102" s="41"/>
      <c r="F102" s="41"/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1"/>
      <c r="X102" s="41"/>
      <c r="Y102" s="41"/>
      <c r="Z102" s="41"/>
    </row>
    <row r="103" ht="15.75" customHeight="1">
      <c r="A103" s="43"/>
      <c r="B103" s="41"/>
      <c r="C103" s="41"/>
      <c r="D103" s="41"/>
      <c r="E103" s="41"/>
      <c r="F103" s="41"/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1"/>
      <c r="X103" s="41"/>
      <c r="Y103" s="41"/>
      <c r="Z103" s="41"/>
    </row>
    <row r="104" ht="15.75" customHeight="1">
      <c r="A104" s="43"/>
      <c r="B104" s="41"/>
      <c r="C104" s="41"/>
      <c r="D104" s="41"/>
      <c r="E104" s="41"/>
      <c r="F104" s="41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1"/>
      <c r="X104" s="41"/>
      <c r="Y104" s="41"/>
      <c r="Z104" s="41"/>
    </row>
    <row r="105" ht="15.75" customHeight="1">
      <c r="A105" s="43"/>
      <c r="B105" s="41"/>
      <c r="C105" s="41"/>
      <c r="D105" s="41"/>
      <c r="E105" s="41"/>
      <c r="F105" s="41"/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1"/>
      <c r="X105" s="41"/>
      <c r="Y105" s="41"/>
      <c r="Z105" s="41"/>
    </row>
    <row r="106" ht="15.75" customHeight="1">
      <c r="A106" s="43"/>
      <c r="B106" s="41"/>
      <c r="C106" s="41"/>
      <c r="D106" s="41"/>
      <c r="E106" s="41"/>
      <c r="F106" s="41"/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1"/>
      <c r="X106" s="41"/>
      <c r="Y106" s="41"/>
      <c r="Z106" s="41"/>
    </row>
    <row r="107" ht="15.75" customHeight="1">
      <c r="A107" s="43"/>
      <c r="B107" s="41"/>
      <c r="C107" s="41"/>
      <c r="D107" s="41"/>
      <c r="E107" s="41"/>
      <c r="F107" s="41"/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1"/>
      <c r="X107" s="41"/>
      <c r="Y107" s="41"/>
      <c r="Z107" s="41"/>
    </row>
    <row r="108" ht="15.75" customHeight="1">
      <c r="A108" s="43"/>
      <c r="B108" s="41"/>
      <c r="C108" s="41"/>
      <c r="D108" s="41"/>
      <c r="E108" s="41"/>
      <c r="F108" s="41"/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1"/>
      <c r="X108" s="41"/>
      <c r="Y108" s="41"/>
      <c r="Z108" s="41"/>
    </row>
    <row r="109" ht="15.75" customHeight="1">
      <c r="A109" s="43"/>
      <c r="B109" s="41"/>
      <c r="C109" s="41"/>
      <c r="D109" s="41"/>
      <c r="E109" s="41"/>
      <c r="F109" s="41"/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1"/>
      <c r="X109" s="41"/>
      <c r="Y109" s="41"/>
      <c r="Z109" s="41"/>
    </row>
    <row r="110" ht="15.75" customHeight="1">
      <c r="A110" s="43"/>
      <c r="B110" s="41"/>
      <c r="C110" s="41"/>
      <c r="D110" s="41"/>
      <c r="E110" s="41"/>
      <c r="F110" s="41"/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1"/>
      <c r="X110" s="41"/>
      <c r="Y110" s="41"/>
      <c r="Z110" s="41"/>
    </row>
    <row r="111" ht="15.75" customHeight="1">
      <c r="A111" s="43"/>
      <c r="B111" s="41"/>
      <c r="C111" s="41"/>
      <c r="D111" s="41"/>
      <c r="E111" s="41"/>
      <c r="F111" s="41"/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1"/>
      <c r="X111" s="41"/>
      <c r="Y111" s="41"/>
      <c r="Z111" s="41"/>
    </row>
    <row r="112" ht="15.75" customHeight="1">
      <c r="A112" s="43"/>
      <c r="B112" s="41"/>
      <c r="C112" s="41"/>
      <c r="D112" s="41"/>
      <c r="E112" s="41"/>
      <c r="F112" s="41"/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1"/>
      <c r="X112" s="41"/>
      <c r="Y112" s="41"/>
      <c r="Z112" s="41"/>
    </row>
    <row r="113" ht="15.75" customHeight="1">
      <c r="A113" s="43"/>
      <c r="B113" s="41"/>
      <c r="C113" s="41"/>
      <c r="D113" s="41"/>
      <c r="E113" s="41"/>
      <c r="F113" s="41"/>
      <c r="G113" s="41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1"/>
      <c r="X113" s="41"/>
      <c r="Y113" s="41"/>
      <c r="Z113" s="41"/>
    </row>
    <row r="114" ht="15.75" customHeight="1">
      <c r="A114" s="43"/>
      <c r="B114" s="41"/>
      <c r="C114" s="41"/>
      <c r="D114" s="41"/>
      <c r="E114" s="41"/>
      <c r="F114" s="41"/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1"/>
      <c r="X114" s="41"/>
      <c r="Y114" s="41"/>
      <c r="Z114" s="41"/>
    </row>
    <row r="115" ht="15.75" customHeight="1">
      <c r="A115" s="43"/>
      <c r="B115" s="41"/>
      <c r="C115" s="41"/>
      <c r="D115" s="41"/>
      <c r="E115" s="41"/>
      <c r="F115" s="41"/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1"/>
      <c r="X115" s="41"/>
      <c r="Y115" s="41"/>
      <c r="Z115" s="41"/>
    </row>
    <row r="116" ht="15.75" customHeight="1">
      <c r="A116" s="43"/>
      <c r="B116" s="41"/>
      <c r="C116" s="41"/>
      <c r="D116" s="41"/>
      <c r="E116" s="41"/>
      <c r="F116" s="41"/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1"/>
      <c r="X116" s="41"/>
      <c r="Y116" s="41"/>
      <c r="Z116" s="41"/>
    </row>
    <row r="117" ht="15.75" customHeight="1">
      <c r="A117" s="43"/>
      <c r="B117" s="41"/>
      <c r="C117" s="41"/>
      <c r="D117" s="41"/>
      <c r="E117" s="41"/>
      <c r="F117" s="41"/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1"/>
      <c r="X117" s="41"/>
      <c r="Y117" s="41"/>
      <c r="Z117" s="41"/>
    </row>
    <row r="118" ht="15.75" customHeight="1">
      <c r="A118" s="43"/>
      <c r="B118" s="41"/>
      <c r="C118" s="41"/>
      <c r="D118" s="41"/>
      <c r="E118" s="41"/>
      <c r="F118" s="41"/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1"/>
      <c r="X118" s="41"/>
      <c r="Y118" s="41"/>
      <c r="Z118" s="41"/>
    </row>
    <row r="119" ht="15.75" customHeight="1">
      <c r="A119" s="43"/>
      <c r="B119" s="41"/>
      <c r="C119" s="41"/>
      <c r="D119" s="41"/>
      <c r="E119" s="41"/>
      <c r="F119" s="41"/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1"/>
      <c r="X119" s="41"/>
      <c r="Y119" s="41"/>
      <c r="Z119" s="41"/>
    </row>
    <row r="120" ht="15.75" customHeight="1">
      <c r="A120" s="43"/>
      <c r="B120" s="41"/>
      <c r="C120" s="41"/>
      <c r="D120" s="41"/>
      <c r="E120" s="41"/>
      <c r="F120" s="41"/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1"/>
      <c r="X120" s="41"/>
      <c r="Y120" s="41"/>
      <c r="Z120" s="41"/>
    </row>
    <row r="121" ht="15.75" customHeight="1">
      <c r="A121" s="43"/>
      <c r="B121" s="41"/>
      <c r="C121" s="41"/>
      <c r="D121" s="41"/>
      <c r="E121" s="41"/>
      <c r="F121" s="41"/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1"/>
      <c r="X121" s="41"/>
      <c r="Y121" s="41"/>
      <c r="Z121" s="41"/>
    </row>
    <row r="122" ht="15.75" customHeight="1">
      <c r="A122" s="43"/>
      <c r="B122" s="41"/>
      <c r="C122" s="41"/>
      <c r="D122" s="41"/>
      <c r="E122" s="41"/>
      <c r="F122" s="41"/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1"/>
      <c r="X122" s="41"/>
      <c r="Y122" s="41"/>
      <c r="Z122" s="41"/>
    </row>
    <row r="123" ht="15.75" customHeight="1">
      <c r="A123" s="43"/>
      <c r="B123" s="41"/>
      <c r="C123" s="41"/>
      <c r="D123" s="41"/>
      <c r="E123" s="41"/>
      <c r="F123" s="41"/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1"/>
      <c r="X123" s="41"/>
      <c r="Y123" s="41"/>
      <c r="Z123" s="41"/>
    </row>
    <row r="124" ht="15.75" customHeight="1">
      <c r="A124" s="43"/>
      <c r="B124" s="41"/>
      <c r="C124" s="41"/>
      <c r="D124" s="41"/>
      <c r="E124" s="41"/>
      <c r="F124" s="41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1"/>
      <c r="X124" s="41"/>
      <c r="Y124" s="41"/>
      <c r="Z124" s="41"/>
    </row>
    <row r="125" ht="15.75" customHeight="1">
      <c r="A125" s="43"/>
      <c r="B125" s="41"/>
      <c r="C125" s="41"/>
      <c r="D125" s="41"/>
      <c r="E125" s="41"/>
      <c r="F125" s="41"/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1"/>
      <c r="X125" s="41"/>
      <c r="Y125" s="41"/>
      <c r="Z125" s="41"/>
    </row>
    <row r="126" ht="15.75" customHeight="1">
      <c r="A126" s="43"/>
      <c r="B126" s="41"/>
      <c r="C126" s="41"/>
      <c r="D126" s="41"/>
      <c r="E126" s="41"/>
      <c r="F126" s="41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1"/>
      <c r="X126" s="41"/>
      <c r="Y126" s="41"/>
      <c r="Z126" s="41"/>
    </row>
    <row r="127" ht="15.75" customHeight="1">
      <c r="A127" s="43"/>
      <c r="B127" s="41"/>
      <c r="C127" s="41"/>
      <c r="D127" s="41"/>
      <c r="E127" s="41"/>
      <c r="F127" s="41"/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1"/>
      <c r="X127" s="41"/>
      <c r="Y127" s="41"/>
      <c r="Z127" s="41"/>
    </row>
    <row r="128" ht="15.75" customHeight="1">
      <c r="A128" s="43"/>
      <c r="B128" s="41"/>
      <c r="C128" s="41"/>
      <c r="D128" s="41"/>
      <c r="E128" s="41"/>
      <c r="F128" s="41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1"/>
      <c r="X128" s="41"/>
      <c r="Y128" s="41"/>
      <c r="Z128" s="41"/>
    </row>
    <row r="129" ht="15.75" customHeight="1">
      <c r="A129" s="43"/>
      <c r="B129" s="41"/>
      <c r="C129" s="41"/>
      <c r="D129" s="41"/>
      <c r="E129" s="41"/>
      <c r="F129" s="4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1"/>
      <c r="X129" s="41"/>
      <c r="Y129" s="41"/>
      <c r="Z129" s="41"/>
    </row>
    <row r="130" ht="15.75" customHeight="1">
      <c r="A130" s="43"/>
      <c r="B130" s="41"/>
      <c r="C130" s="41"/>
      <c r="D130" s="41"/>
      <c r="E130" s="41"/>
      <c r="F130" s="41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1"/>
      <c r="X130" s="41"/>
      <c r="Y130" s="41"/>
      <c r="Z130" s="41"/>
    </row>
    <row r="131" ht="15.75" customHeight="1">
      <c r="A131" s="43"/>
      <c r="B131" s="41"/>
      <c r="C131" s="41"/>
      <c r="D131" s="41"/>
      <c r="E131" s="41"/>
      <c r="F131" s="41"/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1"/>
      <c r="X131" s="41"/>
      <c r="Y131" s="41"/>
      <c r="Z131" s="41"/>
    </row>
    <row r="132" ht="15.75" customHeight="1">
      <c r="A132" s="43"/>
      <c r="B132" s="41"/>
      <c r="C132" s="41"/>
      <c r="D132" s="41"/>
      <c r="E132" s="41"/>
      <c r="F132" s="41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1"/>
      <c r="X132" s="41"/>
      <c r="Y132" s="41"/>
      <c r="Z132" s="41"/>
    </row>
    <row r="133" ht="15.75" customHeight="1">
      <c r="A133" s="43"/>
      <c r="B133" s="41"/>
      <c r="C133" s="41"/>
      <c r="D133" s="41"/>
      <c r="E133" s="41"/>
      <c r="F133" s="4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1"/>
      <c r="X133" s="41"/>
      <c r="Y133" s="41"/>
      <c r="Z133" s="41"/>
    </row>
    <row r="134" ht="15.75" customHeight="1">
      <c r="A134" s="43"/>
      <c r="B134" s="41"/>
      <c r="C134" s="41"/>
      <c r="D134" s="41"/>
      <c r="E134" s="41"/>
      <c r="F134" s="41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1"/>
      <c r="X134" s="41"/>
      <c r="Y134" s="41"/>
      <c r="Z134" s="41"/>
    </row>
    <row r="135" ht="15.75" customHeight="1">
      <c r="A135" s="43"/>
      <c r="B135" s="41"/>
      <c r="C135" s="41"/>
      <c r="D135" s="41"/>
      <c r="E135" s="41"/>
      <c r="F135" s="41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1"/>
      <c r="X135" s="41"/>
      <c r="Y135" s="41"/>
      <c r="Z135" s="41"/>
    </row>
    <row r="136" ht="15.75" customHeight="1">
      <c r="A136" s="43"/>
      <c r="B136" s="41"/>
      <c r="C136" s="41"/>
      <c r="D136" s="41"/>
      <c r="E136" s="41"/>
      <c r="F136" s="41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1"/>
      <c r="X136" s="41"/>
      <c r="Y136" s="41"/>
      <c r="Z136" s="41"/>
    </row>
    <row r="137" ht="15.75" customHeight="1">
      <c r="A137" s="43"/>
      <c r="B137" s="41"/>
      <c r="C137" s="41"/>
      <c r="D137" s="41"/>
      <c r="E137" s="41"/>
      <c r="F137" s="41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1"/>
      <c r="X137" s="41"/>
      <c r="Y137" s="41"/>
      <c r="Z137" s="41"/>
    </row>
    <row r="138" ht="15.75" customHeight="1">
      <c r="A138" s="43"/>
      <c r="B138" s="41"/>
      <c r="C138" s="41"/>
      <c r="D138" s="41"/>
      <c r="E138" s="41"/>
      <c r="F138" s="41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1"/>
      <c r="X138" s="41"/>
      <c r="Y138" s="41"/>
      <c r="Z138" s="41"/>
    </row>
    <row r="139" ht="15.75" customHeight="1">
      <c r="A139" s="43"/>
      <c r="B139" s="41"/>
      <c r="C139" s="41"/>
      <c r="D139" s="41"/>
      <c r="E139" s="41"/>
      <c r="F139" s="41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1"/>
      <c r="X139" s="41"/>
      <c r="Y139" s="41"/>
      <c r="Z139" s="41"/>
    </row>
    <row r="140" ht="15.75" customHeight="1">
      <c r="A140" s="43"/>
      <c r="B140" s="41"/>
      <c r="C140" s="41"/>
      <c r="D140" s="41"/>
      <c r="E140" s="41"/>
      <c r="F140" s="41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1"/>
      <c r="X140" s="41"/>
      <c r="Y140" s="41"/>
      <c r="Z140" s="41"/>
    </row>
    <row r="141" ht="15.75" customHeight="1">
      <c r="A141" s="43"/>
      <c r="B141" s="41"/>
      <c r="C141" s="41"/>
      <c r="D141" s="41"/>
      <c r="E141" s="41"/>
      <c r="F141" s="41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1"/>
      <c r="X141" s="41"/>
      <c r="Y141" s="41"/>
      <c r="Z141" s="41"/>
    </row>
    <row r="142" ht="15.75" customHeight="1">
      <c r="A142" s="43"/>
      <c r="B142" s="41"/>
      <c r="C142" s="41"/>
      <c r="D142" s="41"/>
      <c r="E142" s="4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1"/>
      <c r="X142" s="41"/>
      <c r="Y142" s="41"/>
      <c r="Z142" s="41"/>
    </row>
    <row r="143" ht="15.75" customHeight="1">
      <c r="A143" s="43"/>
      <c r="B143" s="41"/>
      <c r="C143" s="41"/>
      <c r="D143" s="41"/>
      <c r="E143" s="41"/>
      <c r="F143" s="41"/>
      <c r="G143" s="41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1"/>
      <c r="X143" s="41"/>
      <c r="Y143" s="41"/>
      <c r="Z143" s="41"/>
    </row>
    <row r="144" ht="15.75" customHeight="1">
      <c r="A144" s="43"/>
      <c r="B144" s="41"/>
      <c r="C144" s="41"/>
      <c r="D144" s="41"/>
      <c r="E144" s="41"/>
      <c r="F144" s="4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1"/>
      <c r="X144" s="41"/>
      <c r="Y144" s="41"/>
      <c r="Z144" s="41"/>
    </row>
    <row r="145" ht="15.75" customHeight="1">
      <c r="A145" s="43"/>
      <c r="B145" s="41"/>
      <c r="C145" s="41"/>
      <c r="D145" s="41"/>
      <c r="E145" s="41"/>
      <c r="F145" s="41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1"/>
      <c r="X145" s="41"/>
      <c r="Y145" s="41"/>
      <c r="Z145" s="41"/>
    </row>
    <row r="146" ht="15.75" customHeight="1">
      <c r="A146" s="43"/>
      <c r="B146" s="41"/>
      <c r="C146" s="41"/>
      <c r="D146" s="41"/>
      <c r="E146" s="41"/>
      <c r="F146" s="41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1"/>
      <c r="X146" s="41"/>
      <c r="Y146" s="41"/>
      <c r="Z146" s="41"/>
    </row>
    <row r="147" ht="15.75" customHeight="1">
      <c r="A147" s="43"/>
      <c r="B147" s="41"/>
      <c r="C147" s="41"/>
      <c r="D147" s="41"/>
      <c r="E147" s="41"/>
      <c r="F147" s="41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1"/>
      <c r="X147" s="41"/>
      <c r="Y147" s="41"/>
      <c r="Z147" s="41"/>
    </row>
    <row r="148" ht="15.75" customHeight="1">
      <c r="A148" s="43"/>
      <c r="B148" s="41"/>
      <c r="C148" s="41"/>
      <c r="D148" s="41"/>
      <c r="E148" s="41"/>
      <c r="F148" s="41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1"/>
      <c r="X148" s="41"/>
      <c r="Y148" s="41"/>
      <c r="Z148" s="41"/>
    </row>
    <row r="149" ht="15.75" customHeight="1">
      <c r="A149" s="43"/>
      <c r="B149" s="41"/>
      <c r="C149" s="41"/>
      <c r="D149" s="41"/>
      <c r="E149" s="41"/>
      <c r="F149" s="41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1"/>
      <c r="X149" s="41"/>
      <c r="Y149" s="41"/>
      <c r="Z149" s="41"/>
    </row>
    <row r="150" ht="15.75" customHeight="1">
      <c r="A150" s="43"/>
      <c r="B150" s="41"/>
      <c r="C150" s="41"/>
      <c r="D150" s="41"/>
      <c r="E150" s="41"/>
      <c r="F150" s="41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1"/>
      <c r="X150" s="41"/>
      <c r="Y150" s="41"/>
      <c r="Z150" s="41"/>
    </row>
    <row r="151" ht="15.75" customHeight="1">
      <c r="A151" s="43"/>
      <c r="B151" s="41"/>
      <c r="C151" s="41"/>
      <c r="D151" s="41"/>
      <c r="E151" s="41"/>
      <c r="F151" s="41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1"/>
      <c r="X151" s="41"/>
      <c r="Y151" s="41"/>
      <c r="Z151" s="41"/>
    </row>
    <row r="152" ht="15.75" customHeight="1">
      <c r="A152" s="43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1"/>
      <c r="X152" s="41"/>
      <c r="Y152" s="41"/>
      <c r="Z152" s="41"/>
    </row>
    <row r="153" ht="15.75" customHeight="1">
      <c r="A153" s="43"/>
      <c r="B153" s="41"/>
      <c r="C153" s="41"/>
      <c r="D153" s="41"/>
      <c r="E153" s="41"/>
      <c r="F153" s="41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1"/>
      <c r="X153" s="41"/>
      <c r="Y153" s="41"/>
      <c r="Z153" s="41"/>
    </row>
    <row r="154" ht="15.75" customHeight="1">
      <c r="A154" s="43"/>
      <c r="B154" s="41"/>
      <c r="C154" s="41"/>
      <c r="D154" s="41"/>
      <c r="E154" s="41"/>
      <c r="F154" s="41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1"/>
      <c r="X154" s="41"/>
      <c r="Y154" s="41"/>
      <c r="Z154" s="41"/>
    </row>
    <row r="155" ht="15.75" customHeight="1">
      <c r="A155" s="43"/>
      <c r="B155" s="41"/>
      <c r="C155" s="41"/>
      <c r="D155" s="41"/>
      <c r="E155" s="41"/>
      <c r="F155" s="41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1"/>
      <c r="X155" s="41"/>
      <c r="Y155" s="41"/>
      <c r="Z155" s="41"/>
    </row>
    <row r="156" ht="15.75" customHeight="1">
      <c r="A156" s="43"/>
      <c r="B156" s="41"/>
      <c r="C156" s="41"/>
      <c r="D156" s="41"/>
      <c r="E156" s="41"/>
      <c r="F156" s="41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1"/>
      <c r="X156" s="41"/>
      <c r="Y156" s="41"/>
      <c r="Z156" s="41"/>
    </row>
    <row r="157" ht="15.75" customHeight="1">
      <c r="A157" s="43"/>
      <c r="B157" s="41"/>
      <c r="C157" s="41"/>
      <c r="D157" s="41"/>
      <c r="E157" s="41"/>
      <c r="F157" s="41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1"/>
      <c r="X157" s="41"/>
      <c r="Y157" s="41"/>
      <c r="Z157" s="41"/>
    </row>
    <row r="158" ht="15.75" customHeight="1">
      <c r="A158" s="43"/>
      <c r="B158" s="41"/>
      <c r="C158" s="41"/>
      <c r="D158" s="41"/>
      <c r="E158" s="41"/>
      <c r="F158" s="41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1"/>
      <c r="X158" s="41"/>
      <c r="Y158" s="41"/>
      <c r="Z158" s="41"/>
    </row>
    <row r="159" ht="15.75" customHeight="1">
      <c r="A159" s="43"/>
      <c r="B159" s="41"/>
      <c r="C159" s="41"/>
      <c r="D159" s="41"/>
      <c r="E159" s="41"/>
      <c r="F159" s="41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1"/>
      <c r="X159" s="41"/>
      <c r="Y159" s="41"/>
      <c r="Z159" s="41"/>
    </row>
    <row r="160" ht="15.75" customHeight="1">
      <c r="A160" s="43"/>
      <c r="B160" s="41"/>
      <c r="C160" s="41"/>
      <c r="D160" s="41"/>
      <c r="E160" s="41"/>
      <c r="F160" s="41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1"/>
      <c r="X160" s="41"/>
      <c r="Y160" s="41"/>
      <c r="Z160" s="41"/>
    </row>
    <row r="161" ht="15.75" customHeight="1">
      <c r="A161" s="43"/>
      <c r="B161" s="41"/>
      <c r="C161" s="41"/>
      <c r="D161" s="41"/>
      <c r="E161" s="41"/>
      <c r="F161" s="41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1"/>
      <c r="X161" s="41"/>
      <c r="Y161" s="41"/>
      <c r="Z161" s="41"/>
    </row>
    <row r="162" ht="15.75" customHeight="1">
      <c r="A162" s="43"/>
      <c r="B162" s="41"/>
      <c r="C162" s="41"/>
      <c r="D162" s="41"/>
      <c r="E162" s="41"/>
      <c r="F162" s="41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1"/>
      <c r="X162" s="41"/>
      <c r="Y162" s="41"/>
      <c r="Z162" s="41"/>
    </row>
    <row r="163" ht="15.75" customHeight="1">
      <c r="A163" s="43"/>
      <c r="B163" s="41"/>
      <c r="C163" s="41"/>
      <c r="D163" s="41"/>
      <c r="E163" s="41"/>
      <c r="F163" s="41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1"/>
      <c r="X163" s="41"/>
      <c r="Y163" s="41"/>
      <c r="Z163" s="41"/>
    </row>
    <row r="164" ht="15.75" customHeight="1">
      <c r="A164" s="43"/>
      <c r="B164" s="41"/>
      <c r="C164" s="41"/>
      <c r="D164" s="41"/>
      <c r="E164" s="41"/>
      <c r="F164" s="41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1"/>
      <c r="X164" s="41"/>
      <c r="Y164" s="41"/>
      <c r="Z164" s="41"/>
    </row>
    <row r="165" ht="15.75" customHeight="1">
      <c r="A165" s="43"/>
      <c r="B165" s="41"/>
      <c r="C165" s="41"/>
      <c r="D165" s="41"/>
      <c r="E165" s="41"/>
      <c r="F165" s="41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1"/>
      <c r="X165" s="41"/>
      <c r="Y165" s="41"/>
      <c r="Z165" s="41"/>
    </row>
    <row r="166" ht="15.75" customHeight="1">
      <c r="A166" s="43"/>
      <c r="B166" s="41"/>
      <c r="C166" s="41"/>
      <c r="D166" s="41"/>
      <c r="E166" s="41"/>
      <c r="F166" s="41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1"/>
      <c r="X166" s="41"/>
      <c r="Y166" s="41"/>
      <c r="Z166" s="41"/>
    </row>
    <row r="167" ht="15.75" customHeight="1">
      <c r="A167" s="43"/>
      <c r="B167" s="41"/>
      <c r="C167" s="41"/>
      <c r="D167" s="41"/>
      <c r="E167" s="41"/>
      <c r="F167" s="41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1"/>
      <c r="X167" s="41"/>
      <c r="Y167" s="41"/>
      <c r="Z167" s="41"/>
    </row>
    <row r="168" ht="15.75" customHeight="1">
      <c r="A168" s="43"/>
      <c r="B168" s="41"/>
      <c r="C168" s="41"/>
      <c r="D168" s="41"/>
      <c r="E168" s="41"/>
      <c r="F168" s="41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1"/>
      <c r="X168" s="41"/>
      <c r="Y168" s="41"/>
      <c r="Z168" s="41"/>
    </row>
    <row r="169" ht="15.75" customHeight="1">
      <c r="A169" s="43"/>
      <c r="B169" s="41"/>
      <c r="C169" s="41"/>
      <c r="D169" s="41"/>
      <c r="E169" s="41"/>
      <c r="F169" s="41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1"/>
      <c r="X169" s="41"/>
      <c r="Y169" s="41"/>
      <c r="Z169" s="41"/>
    </row>
    <row r="170" ht="15.75" customHeight="1">
      <c r="A170" s="43"/>
      <c r="B170" s="41"/>
      <c r="C170" s="41"/>
      <c r="D170" s="41"/>
      <c r="E170" s="41"/>
      <c r="F170" s="41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1"/>
      <c r="X170" s="41"/>
      <c r="Y170" s="41"/>
      <c r="Z170" s="41"/>
    </row>
    <row r="171" ht="15.75" customHeight="1">
      <c r="A171" s="43"/>
      <c r="B171" s="41"/>
      <c r="C171" s="41"/>
      <c r="D171" s="41"/>
      <c r="E171" s="41"/>
      <c r="F171" s="41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1"/>
      <c r="X171" s="41"/>
      <c r="Y171" s="41"/>
      <c r="Z171" s="41"/>
    </row>
    <row r="172" ht="15.75" customHeight="1">
      <c r="A172" s="43"/>
      <c r="B172" s="41"/>
      <c r="C172" s="41"/>
      <c r="D172" s="41"/>
      <c r="E172" s="41"/>
      <c r="F172" s="41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1"/>
      <c r="X172" s="41"/>
      <c r="Y172" s="41"/>
      <c r="Z172" s="41"/>
    </row>
    <row r="173" ht="15.75" customHeight="1">
      <c r="A173" s="43"/>
      <c r="B173" s="41"/>
      <c r="C173" s="41"/>
      <c r="D173" s="41"/>
      <c r="E173" s="41"/>
      <c r="F173" s="41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1"/>
      <c r="X173" s="41"/>
      <c r="Y173" s="41"/>
      <c r="Z173" s="41"/>
    </row>
    <row r="174" ht="15.75" customHeight="1">
      <c r="A174" s="43"/>
      <c r="B174" s="41"/>
      <c r="C174" s="41"/>
      <c r="D174" s="41"/>
      <c r="E174" s="41"/>
      <c r="F174" s="41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1"/>
      <c r="X174" s="41"/>
      <c r="Y174" s="41"/>
      <c r="Z174" s="41"/>
    </row>
    <row r="175" ht="15.75" customHeight="1">
      <c r="A175" s="43"/>
      <c r="B175" s="41"/>
      <c r="C175" s="41"/>
      <c r="D175" s="41"/>
      <c r="E175" s="41"/>
      <c r="F175" s="41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1"/>
      <c r="X175" s="41"/>
      <c r="Y175" s="41"/>
      <c r="Z175" s="41"/>
    </row>
    <row r="176" ht="15.75" customHeight="1">
      <c r="A176" s="43"/>
      <c r="B176" s="41"/>
      <c r="C176" s="41"/>
      <c r="D176" s="41"/>
      <c r="E176" s="41"/>
      <c r="F176" s="41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1"/>
      <c r="X176" s="41"/>
      <c r="Y176" s="41"/>
      <c r="Z176" s="41"/>
    </row>
    <row r="177" ht="15.75" customHeight="1">
      <c r="A177" s="43"/>
      <c r="B177" s="41"/>
      <c r="C177" s="41"/>
      <c r="D177" s="41"/>
      <c r="E177" s="41"/>
      <c r="F177" s="41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1"/>
      <c r="X177" s="41"/>
      <c r="Y177" s="41"/>
      <c r="Z177" s="41"/>
    </row>
    <row r="178" ht="15.75" customHeight="1">
      <c r="A178" s="43"/>
      <c r="B178" s="41"/>
      <c r="C178" s="41"/>
      <c r="D178" s="41"/>
      <c r="E178" s="41"/>
      <c r="F178" s="41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1"/>
      <c r="X178" s="41"/>
      <c r="Y178" s="41"/>
      <c r="Z178" s="41"/>
    </row>
    <row r="179" ht="15.75" customHeight="1">
      <c r="A179" s="43"/>
      <c r="B179" s="41"/>
      <c r="C179" s="41"/>
      <c r="D179" s="41"/>
      <c r="E179" s="41"/>
      <c r="F179" s="41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1"/>
      <c r="X179" s="41"/>
      <c r="Y179" s="41"/>
      <c r="Z179" s="41"/>
    </row>
    <row r="180" ht="15.75" customHeight="1">
      <c r="A180" s="43"/>
      <c r="B180" s="41"/>
      <c r="C180" s="41"/>
      <c r="D180" s="41"/>
      <c r="E180" s="41"/>
      <c r="F180" s="41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1"/>
      <c r="X180" s="41"/>
      <c r="Y180" s="41"/>
      <c r="Z180" s="41"/>
    </row>
    <row r="181" ht="15.75" customHeight="1">
      <c r="A181" s="43"/>
      <c r="B181" s="41"/>
      <c r="C181" s="41"/>
      <c r="D181" s="41"/>
      <c r="E181" s="41"/>
      <c r="F181" s="41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1"/>
      <c r="X181" s="41"/>
      <c r="Y181" s="41"/>
      <c r="Z181" s="41"/>
    </row>
    <row r="182" ht="15.75" customHeight="1">
      <c r="A182" s="43"/>
      <c r="B182" s="41"/>
      <c r="C182" s="41"/>
      <c r="D182" s="41"/>
      <c r="E182" s="41"/>
      <c r="F182" s="41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1"/>
      <c r="X182" s="41"/>
      <c r="Y182" s="41"/>
      <c r="Z182" s="41"/>
    </row>
    <row r="183" ht="15.75" customHeight="1">
      <c r="A183" s="43"/>
      <c r="B183" s="41"/>
      <c r="C183" s="41"/>
      <c r="D183" s="41"/>
      <c r="E183" s="41"/>
      <c r="F183" s="41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1"/>
      <c r="X183" s="41"/>
      <c r="Y183" s="41"/>
      <c r="Z183" s="41"/>
    </row>
    <row r="184" ht="15.75" customHeight="1">
      <c r="A184" s="43"/>
      <c r="B184" s="41"/>
      <c r="C184" s="41"/>
      <c r="D184" s="41"/>
      <c r="E184" s="41"/>
      <c r="F184" s="41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1"/>
      <c r="X184" s="41"/>
      <c r="Y184" s="41"/>
      <c r="Z184" s="41"/>
    </row>
    <row r="185" ht="15.75" customHeight="1">
      <c r="A185" s="43"/>
      <c r="B185" s="41"/>
      <c r="C185" s="41"/>
      <c r="D185" s="41"/>
      <c r="E185" s="41"/>
      <c r="F185" s="41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1"/>
      <c r="X185" s="41"/>
      <c r="Y185" s="41"/>
      <c r="Z185" s="41"/>
    </row>
    <row r="186" ht="15.75" customHeight="1">
      <c r="A186" s="43"/>
      <c r="B186" s="41"/>
      <c r="C186" s="41"/>
      <c r="D186" s="41"/>
      <c r="E186" s="41"/>
      <c r="F186" s="41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1"/>
      <c r="X186" s="41"/>
      <c r="Y186" s="41"/>
      <c r="Z186" s="41"/>
    </row>
    <row r="187" ht="15.75" customHeight="1">
      <c r="A187" s="43"/>
      <c r="B187" s="41"/>
      <c r="C187" s="41"/>
      <c r="D187" s="41"/>
      <c r="E187" s="41"/>
      <c r="F187" s="41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1"/>
      <c r="X187" s="41"/>
      <c r="Y187" s="41"/>
      <c r="Z187" s="41"/>
    </row>
    <row r="188" ht="15.75" customHeight="1">
      <c r="A188" s="43"/>
      <c r="B188" s="41"/>
      <c r="C188" s="41"/>
      <c r="D188" s="41"/>
      <c r="E188" s="41"/>
      <c r="F188" s="41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1"/>
      <c r="X188" s="41"/>
      <c r="Y188" s="41"/>
      <c r="Z188" s="41"/>
    </row>
    <row r="189" ht="15.75" customHeight="1">
      <c r="A189" s="43"/>
      <c r="B189" s="41"/>
      <c r="C189" s="41"/>
      <c r="D189" s="41"/>
      <c r="E189" s="41"/>
      <c r="F189" s="41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1"/>
      <c r="X189" s="41"/>
      <c r="Y189" s="41"/>
      <c r="Z189" s="41"/>
    </row>
    <row r="190" ht="15.75" customHeight="1">
      <c r="A190" s="43"/>
      <c r="B190" s="41"/>
      <c r="C190" s="41"/>
      <c r="D190" s="41"/>
      <c r="E190" s="41"/>
      <c r="F190" s="41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1"/>
      <c r="X190" s="41"/>
      <c r="Y190" s="41"/>
      <c r="Z190" s="41"/>
    </row>
    <row r="191" ht="15.75" customHeight="1">
      <c r="A191" s="43"/>
      <c r="B191" s="41"/>
      <c r="C191" s="41"/>
      <c r="D191" s="41"/>
      <c r="E191" s="41"/>
      <c r="F191" s="41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1"/>
      <c r="X191" s="41"/>
      <c r="Y191" s="41"/>
      <c r="Z191" s="41"/>
    </row>
    <row r="192" ht="15.75" customHeight="1">
      <c r="A192" s="43"/>
      <c r="B192" s="41"/>
      <c r="C192" s="41"/>
      <c r="D192" s="41"/>
      <c r="E192" s="41"/>
      <c r="F192" s="41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1"/>
      <c r="X192" s="41"/>
      <c r="Y192" s="41"/>
      <c r="Z192" s="41"/>
    </row>
    <row r="193" ht="15.75" customHeight="1">
      <c r="A193" s="43"/>
      <c r="B193" s="41"/>
      <c r="C193" s="41"/>
      <c r="D193" s="41"/>
      <c r="E193" s="41"/>
      <c r="F193" s="41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1"/>
      <c r="X193" s="41"/>
      <c r="Y193" s="41"/>
      <c r="Z193" s="41"/>
    </row>
    <row r="194" ht="15.75" customHeight="1">
      <c r="A194" s="43"/>
      <c r="B194" s="41"/>
      <c r="C194" s="41"/>
      <c r="D194" s="41"/>
      <c r="E194" s="41"/>
      <c r="F194" s="41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1"/>
      <c r="X194" s="41"/>
      <c r="Y194" s="41"/>
      <c r="Z194" s="41"/>
    </row>
    <row r="195" ht="15.75" customHeight="1">
      <c r="A195" s="43"/>
      <c r="B195" s="41"/>
      <c r="C195" s="41"/>
      <c r="D195" s="41"/>
      <c r="E195" s="41"/>
      <c r="F195" s="41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1"/>
      <c r="X195" s="41"/>
      <c r="Y195" s="41"/>
      <c r="Z195" s="41"/>
    </row>
    <row r="196" ht="15.75" customHeight="1">
      <c r="A196" s="43"/>
      <c r="B196" s="41"/>
      <c r="C196" s="41"/>
      <c r="D196" s="41"/>
      <c r="E196" s="41"/>
      <c r="F196" s="41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1"/>
      <c r="X196" s="41"/>
      <c r="Y196" s="41"/>
      <c r="Z196" s="41"/>
    </row>
    <row r="197" ht="15.75" customHeight="1">
      <c r="A197" s="43"/>
      <c r="B197" s="41"/>
      <c r="C197" s="41"/>
      <c r="D197" s="41"/>
      <c r="E197" s="41"/>
      <c r="F197" s="41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1"/>
      <c r="X197" s="41"/>
      <c r="Y197" s="41"/>
      <c r="Z197" s="41"/>
    </row>
    <row r="198" ht="15.75" customHeight="1">
      <c r="A198" s="43"/>
      <c r="B198" s="41"/>
      <c r="C198" s="41"/>
      <c r="D198" s="41"/>
      <c r="E198" s="41"/>
      <c r="F198" s="41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1"/>
      <c r="X198" s="41"/>
      <c r="Y198" s="41"/>
      <c r="Z198" s="41"/>
    </row>
    <row r="199" ht="15.75" customHeight="1">
      <c r="A199" s="43"/>
      <c r="B199" s="41"/>
      <c r="C199" s="41"/>
      <c r="D199" s="41"/>
      <c r="E199" s="41"/>
      <c r="F199" s="41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1"/>
      <c r="X199" s="41"/>
      <c r="Y199" s="41"/>
      <c r="Z199" s="41"/>
    </row>
    <row r="200" ht="15.75" customHeight="1">
      <c r="A200" s="43"/>
      <c r="B200" s="41"/>
      <c r="C200" s="41"/>
      <c r="D200" s="41"/>
      <c r="E200" s="41"/>
      <c r="F200" s="41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1"/>
      <c r="X200" s="41"/>
      <c r="Y200" s="41"/>
      <c r="Z200" s="41"/>
    </row>
    <row r="201" ht="15.75" customHeight="1">
      <c r="A201" s="43"/>
      <c r="B201" s="41"/>
      <c r="C201" s="41"/>
      <c r="D201" s="41"/>
      <c r="E201" s="41"/>
      <c r="F201" s="41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1"/>
      <c r="X201" s="41"/>
      <c r="Y201" s="41"/>
      <c r="Z201" s="41"/>
    </row>
    <row r="202" ht="15.75" customHeight="1">
      <c r="A202" s="43"/>
      <c r="B202" s="41"/>
      <c r="C202" s="41"/>
      <c r="D202" s="41"/>
      <c r="E202" s="41"/>
      <c r="F202" s="41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1"/>
      <c r="X202" s="41"/>
      <c r="Y202" s="41"/>
      <c r="Z202" s="41"/>
    </row>
    <row r="203" ht="15.75" customHeight="1">
      <c r="A203" s="43"/>
      <c r="B203" s="41"/>
      <c r="C203" s="41"/>
      <c r="D203" s="41"/>
      <c r="E203" s="41"/>
      <c r="F203" s="41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1"/>
      <c r="X203" s="41"/>
      <c r="Y203" s="41"/>
      <c r="Z203" s="41"/>
    </row>
    <row r="204" ht="15.75" customHeight="1">
      <c r="A204" s="43"/>
      <c r="B204" s="41"/>
      <c r="C204" s="41"/>
      <c r="D204" s="41"/>
      <c r="E204" s="41"/>
      <c r="F204" s="41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1"/>
      <c r="X204" s="41"/>
      <c r="Y204" s="41"/>
      <c r="Z204" s="41"/>
    </row>
    <row r="205" ht="15.75" customHeight="1">
      <c r="A205" s="43"/>
      <c r="B205" s="41"/>
      <c r="C205" s="41"/>
      <c r="D205" s="41"/>
      <c r="E205" s="41"/>
      <c r="F205" s="41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1"/>
      <c r="X205" s="41"/>
      <c r="Y205" s="41"/>
      <c r="Z205" s="41"/>
    </row>
    <row r="206" ht="15.75" customHeight="1">
      <c r="A206" s="43"/>
      <c r="B206" s="41"/>
      <c r="C206" s="41"/>
      <c r="D206" s="41"/>
      <c r="E206" s="41"/>
      <c r="F206" s="41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1"/>
      <c r="X206" s="41"/>
      <c r="Y206" s="41"/>
      <c r="Z206" s="41"/>
    </row>
    <row r="207" ht="15.75" customHeight="1">
      <c r="A207" s="43"/>
      <c r="B207" s="41"/>
      <c r="C207" s="41"/>
      <c r="D207" s="41"/>
      <c r="E207" s="41"/>
      <c r="F207" s="41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1"/>
      <c r="X207" s="41"/>
      <c r="Y207" s="41"/>
      <c r="Z207" s="41"/>
    </row>
    <row r="208" ht="15.75" customHeight="1">
      <c r="A208" s="43"/>
      <c r="B208" s="41"/>
      <c r="C208" s="41"/>
      <c r="D208" s="41"/>
      <c r="E208" s="41"/>
      <c r="F208" s="41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1"/>
      <c r="X208" s="41"/>
      <c r="Y208" s="41"/>
      <c r="Z208" s="41"/>
    </row>
    <row r="209" ht="15.75" customHeight="1">
      <c r="A209" s="43"/>
      <c r="B209" s="41"/>
      <c r="C209" s="41"/>
      <c r="D209" s="41"/>
      <c r="E209" s="41"/>
      <c r="F209" s="41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1"/>
      <c r="X209" s="41"/>
      <c r="Y209" s="41"/>
      <c r="Z209" s="41"/>
    </row>
    <row r="210" ht="15.75" customHeight="1">
      <c r="A210" s="43"/>
      <c r="B210" s="41"/>
      <c r="C210" s="41"/>
      <c r="D210" s="41"/>
      <c r="E210" s="41"/>
      <c r="F210" s="41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1"/>
      <c r="X210" s="41"/>
      <c r="Y210" s="41"/>
      <c r="Z210" s="41"/>
    </row>
    <row r="211" ht="15.75" customHeight="1">
      <c r="A211" s="43"/>
      <c r="B211" s="41"/>
      <c r="C211" s="41"/>
      <c r="D211" s="41"/>
      <c r="E211" s="41"/>
      <c r="F211" s="41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1"/>
      <c r="X211" s="41"/>
      <c r="Y211" s="41"/>
      <c r="Z211" s="41"/>
    </row>
    <row r="212" ht="15.75" customHeight="1">
      <c r="A212" s="43"/>
      <c r="B212" s="41"/>
      <c r="C212" s="41"/>
      <c r="D212" s="41"/>
      <c r="E212" s="41"/>
      <c r="F212" s="41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1"/>
      <c r="X212" s="41"/>
      <c r="Y212" s="41"/>
      <c r="Z212" s="41"/>
    </row>
    <row r="213" ht="15.75" customHeight="1">
      <c r="A213" s="43"/>
      <c r="B213" s="41"/>
      <c r="C213" s="41"/>
      <c r="D213" s="41"/>
      <c r="E213" s="41"/>
      <c r="F213" s="41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1"/>
      <c r="X213" s="41"/>
      <c r="Y213" s="41"/>
      <c r="Z213" s="41"/>
    </row>
    <row r="214" ht="15.75" customHeight="1">
      <c r="A214" s="43"/>
      <c r="B214" s="41"/>
      <c r="C214" s="41"/>
      <c r="D214" s="41"/>
      <c r="E214" s="41"/>
      <c r="F214" s="41"/>
      <c r="G214" s="41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1"/>
      <c r="X214" s="41"/>
      <c r="Y214" s="41"/>
      <c r="Z214" s="41"/>
    </row>
    <row r="215" ht="15.75" customHeight="1">
      <c r="A215" s="43"/>
      <c r="B215" s="41"/>
      <c r="C215" s="41"/>
      <c r="D215" s="41"/>
      <c r="E215" s="41"/>
      <c r="F215" s="41"/>
      <c r="G215" s="41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1"/>
      <c r="X215" s="41"/>
      <c r="Y215" s="41"/>
      <c r="Z215" s="41"/>
    </row>
    <row r="216" ht="15.75" customHeight="1">
      <c r="A216" s="43"/>
      <c r="B216" s="41"/>
      <c r="C216" s="41"/>
      <c r="D216" s="41"/>
      <c r="E216" s="41"/>
      <c r="F216" s="41"/>
      <c r="G216" s="41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1"/>
      <c r="X216" s="41"/>
      <c r="Y216" s="41"/>
      <c r="Z216" s="41"/>
    </row>
    <row r="217" ht="15.75" customHeight="1">
      <c r="A217" s="43"/>
      <c r="B217" s="41"/>
      <c r="C217" s="41"/>
      <c r="D217" s="41"/>
      <c r="E217" s="41"/>
      <c r="F217" s="41"/>
      <c r="G217" s="41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1"/>
      <c r="X217" s="41"/>
      <c r="Y217" s="41"/>
      <c r="Z217" s="41"/>
    </row>
    <row r="218" ht="15.75" customHeight="1">
      <c r="A218" s="43"/>
      <c r="B218" s="41"/>
      <c r="C218" s="41"/>
      <c r="D218" s="41"/>
      <c r="E218" s="41"/>
      <c r="F218" s="41"/>
      <c r="G218" s="41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1"/>
      <c r="X218" s="41"/>
      <c r="Y218" s="41"/>
      <c r="Z218" s="4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mergeCells count="24">
    <mergeCell ref="D10:D12"/>
    <mergeCell ref="E10:E12"/>
    <mergeCell ref="H2:I2"/>
    <mergeCell ref="J2:K2"/>
    <mergeCell ref="L2:M2"/>
    <mergeCell ref="N2:N3"/>
    <mergeCell ref="A10:A12"/>
    <mergeCell ref="B10:B12"/>
    <mergeCell ref="C10:C12"/>
    <mergeCell ref="H10:L10"/>
    <mergeCell ref="H11:J11"/>
    <mergeCell ref="M11:O11"/>
    <mergeCell ref="P11:P12"/>
    <mergeCell ref="Q11:Q12"/>
    <mergeCell ref="R11:T11"/>
    <mergeCell ref="U11:U12"/>
    <mergeCell ref="F10:F12"/>
    <mergeCell ref="G10:G12"/>
    <mergeCell ref="M10:Q10"/>
    <mergeCell ref="R10:V10"/>
    <mergeCell ref="W10:W12"/>
    <mergeCell ref="K11:K12"/>
    <mergeCell ref="L11:L12"/>
    <mergeCell ref="V11:V12"/>
  </mergeCells>
  <dataValidations>
    <dataValidation type="list" allowBlank="1" showErrorMessage="1" sqref="H13:I18 M13:N18 R13:S18">
      <formula1>"Passed,Failed,Blocked,Not Run"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78"/>
    <col customWidth="1" min="3" max="3" width="15.33"/>
    <col customWidth="1" min="4" max="5" width="22.33"/>
    <col customWidth="1" min="6" max="6" width="23.33"/>
    <col customWidth="1" min="7" max="7" width="33.44"/>
    <col customWidth="1" min="8" max="9" width="16.44"/>
    <col customWidth="1" min="10" max="10" width="17.33"/>
    <col customWidth="1" min="11" max="11" width="21.11"/>
    <col customWidth="1" min="12" max="12" width="13.11"/>
    <col customWidth="1" min="13" max="14" width="16.44"/>
    <col customWidth="1" min="15" max="15" width="17.33"/>
    <col customWidth="1" min="16" max="16" width="24.67"/>
    <col customWidth="1" min="17" max="17" width="13.67"/>
    <col customWidth="1" min="18" max="19" width="16.44"/>
    <col customWidth="1" min="20" max="20" width="17.33"/>
    <col customWidth="1" min="21" max="21" width="23.44"/>
    <col customWidth="1" min="22" max="22" width="13.33"/>
    <col customWidth="1" min="23" max="23" width="12.33"/>
    <col customWidth="1" min="24" max="26" width="10.56"/>
  </cols>
  <sheetData>
    <row r="1" ht="15.75" customHeight="1">
      <c r="A1" s="40" t="s">
        <v>61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1"/>
      <c r="X1" s="41"/>
      <c r="Y1" s="41"/>
      <c r="Z1" s="41"/>
    </row>
    <row r="2" ht="15.75" customHeight="1">
      <c r="A2" s="43"/>
      <c r="B2" s="41"/>
      <c r="C2" s="41"/>
      <c r="D2" s="41"/>
      <c r="E2" s="41"/>
      <c r="F2" s="41"/>
      <c r="G2" s="41"/>
      <c r="H2" s="29" t="s">
        <v>45</v>
      </c>
      <c r="I2" s="6"/>
      <c r="J2" s="29" t="s">
        <v>46</v>
      </c>
      <c r="K2" s="6"/>
      <c r="L2" s="29" t="s">
        <v>47</v>
      </c>
      <c r="M2" s="6"/>
      <c r="N2" s="28" t="s">
        <v>62</v>
      </c>
      <c r="O2" s="42"/>
      <c r="P2" s="42"/>
      <c r="Q2" s="42"/>
      <c r="R2" s="42"/>
      <c r="S2" s="42"/>
      <c r="T2" s="42"/>
      <c r="U2" s="42"/>
      <c r="V2" s="42"/>
      <c r="W2" s="41"/>
      <c r="X2" s="41"/>
      <c r="Y2" s="41"/>
      <c r="Z2" s="41"/>
    </row>
    <row r="3" ht="15.75" customHeight="1">
      <c r="A3" s="13" t="s">
        <v>24</v>
      </c>
      <c r="B3" s="13" t="s">
        <v>63</v>
      </c>
      <c r="C3" s="41"/>
      <c r="D3" s="13" t="s">
        <v>64</v>
      </c>
      <c r="E3" s="13" t="s">
        <v>65</v>
      </c>
      <c r="F3" s="41"/>
      <c r="G3" s="44"/>
      <c r="H3" s="45" t="s">
        <v>48</v>
      </c>
      <c r="I3" s="45" t="s">
        <v>49</v>
      </c>
      <c r="J3" s="45" t="s">
        <v>48</v>
      </c>
      <c r="K3" s="45" t="s">
        <v>49</v>
      </c>
      <c r="L3" s="45" t="s">
        <v>48</v>
      </c>
      <c r="M3" s="45" t="s">
        <v>49</v>
      </c>
      <c r="N3" s="34"/>
      <c r="O3" s="42"/>
      <c r="P3" s="42"/>
      <c r="Q3" s="42"/>
      <c r="R3" s="42"/>
      <c r="S3" s="42"/>
      <c r="T3" s="42"/>
      <c r="U3" s="42"/>
      <c r="V3" s="42"/>
      <c r="W3" s="41"/>
      <c r="X3" s="41"/>
      <c r="Y3" s="41"/>
      <c r="Z3" s="41"/>
    </row>
    <row r="4" ht="15.75" customHeight="1">
      <c r="A4" s="46" t="s">
        <v>12</v>
      </c>
      <c r="B4" s="18" t="s">
        <v>32</v>
      </c>
      <c r="C4" s="41"/>
      <c r="D4" s="46" t="s">
        <v>135</v>
      </c>
      <c r="E4" s="47" t="s">
        <v>136</v>
      </c>
      <c r="F4" s="41"/>
      <c r="G4" s="13" t="s">
        <v>68</v>
      </c>
      <c r="H4" s="48">
        <f t="shared" ref="H4:I4" si="1">COUNTIF(H13:H204,"PASSED")</f>
        <v>6</v>
      </c>
      <c r="I4" s="48">
        <f t="shared" si="1"/>
        <v>6</v>
      </c>
      <c r="J4" s="48">
        <f t="shared" ref="J4:K4" si="2">COUNTIF(M13:M204,"PASSED")</f>
        <v>12</v>
      </c>
      <c r="K4" s="48">
        <f t="shared" si="2"/>
        <v>12</v>
      </c>
      <c r="L4" s="48">
        <f t="shared" ref="L4:M4" si="3">COUNTIF(R13:R204,"PASSED")</f>
        <v>13</v>
      </c>
      <c r="M4" s="48">
        <f t="shared" si="3"/>
        <v>13</v>
      </c>
      <c r="N4" s="48">
        <f t="shared" ref="N4:N8" si="7">SUM(H4:M4)</f>
        <v>62</v>
      </c>
      <c r="O4" s="42"/>
      <c r="P4" s="42"/>
      <c r="Q4" s="42"/>
      <c r="R4" s="42"/>
      <c r="S4" s="42"/>
      <c r="T4" s="42"/>
      <c r="U4" s="42"/>
      <c r="V4" s="42"/>
      <c r="W4" s="41"/>
      <c r="X4" s="41"/>
      <c r="Y4" s="41"/>
      <c r="Z4" s="41"/>
    </row>
    <row r="5" ht="15.75" customHeight="1">
      <c r="A5" s="49"/>
      <c r="B5" s="49"/>
      <c r="C5" s="41"/>
      <c r="D5" s="49"/>
      <c r="E5" s="49"/>
      <c r="F5" s="41"/>
      <c r="G5" s="13" t="s">
        <v>69</v>
      </c>
      <c r="H5" s="48">
        <f t="shared" ref="H5:I5" si="4">COUNTIF(H13:H214,"FAILED")</f>
        <v>7</v>
      </c>
      <c r="I5" s="48">
        <f t="shared" si="4"/>
        <v>7</v>
      </c>
      <c r="J5" s="48">
        <f t="shared" ref="J5:K5" si="5">COUNTIF(M14:M205,"FAILED")</f>
        <v>1</v>
      </c>
      <c r="K5" s="48">
        <f t="shared" si="5"/>
        <v>1</v>
      </c>
      <c r="L5" s="48">
        <f t="shared" ref="L5:M5" si="6">COUNTIF(R14:R205,"FAILED")</f>
        <v>0</v>
      </c>
      <c r="M5" s="48">
        <f t="shared" si="6"/>
        <v>0</v>
      </c>
      <c r="N5" s="48">
        <f t="shared" si="7"/>
        <v>16</v>
      </c>
      <c r="O5" s="42"/>
      <c r="P5" s="42"/>
      <c r="Q5" s="42"/>
      <c r="R5" s="42"/>
      <c r="S5" s="42"/>
      <c r="T5" s="42"/>
      <c r="U5" s="42"/>
      <c r="V5" s="42"/>
      <c r="W5" s="41"/>
      <c r="X5" s="41"/>
      <c r="Y5" s="41"/>
      <c r="Z5" s="41"/>
    </row>
    <row r="6" ht="15.75" customHeight="1">
      <c r="A6" s="49"/>
      <c r="B6" s="49"/>
      <c r="C6" s="41"/>
      <c r="D6" s="49"/>
      <c r="E6" s="49"/>
      <c r="F6" s="41"/>
      <c r="G6" s="13" t="s">
        <v>70</v>
      </c>
      <c r="H6" s="48">
        <f t="shared" ref="H6:I6" si="8">COUNTIF(H13:H224,"BLOCKED")</f>
        <v>0</v>
      </c>
      <c r="I6" s="48">
        <f t="shared" si="8"/>
        <v>0</v>
      </c>
      <c r="J6" s="48">
        <f t="shared" ref="J6:K6" si="9">COUNTIF(M20:M206,"BLOCKED")</f>
        <v>0</v>
      </c>
      <c r="K6" s="48">
        <f t="shared" si="9"/>
        <v>0</v>
      </c>
      <c r="L6" s="48">
        <f t="shared" ref="L6:M6" si="10">COUNTIF(R20:R206,"BLOCKED")</f>
        <v>0</v>
      </c>
      <c r="M6" s="48">
        <f t="shared" si="10"/>
        <v>0</v>
      </c>
      <c r="N6" s="48">
        <f t="shared" si="7"/>
        <v>0</v>
      </c>
      <c r="O6" s="42"/>
      <c r="P6" s="42"/>
      <c r="Q6" s="42"/>
      <c r="R6" s="42"/>
      <c r="S6" s="42"/>
      <c r="T6" s="42"/>
      <c r="U6" s="42"/>
      <c r="V6" s="42"/>
      <c r="W6" s="41"/>
      <c r="X6" s="41"/>
      <c r="Y6" s="41"/>
      <c r="Z6" s="41"/>
    </row>
    <row r="7" ht="15.75" customHeight="1">
      <c r="A7" s="49"/>
      <c r="B7" s="49"/>
      <c r="C7" s="41"/>
      <c r="D7" s="49"/>
      <c r="E7" s="49"/>
      <c r="F7" s="41"/>
      <c r="G7" s="13" t="s">
        <v>71</v>
      </c>
      <c r="H7" s="48">
        <f t="shared" ref="H7:I7" si="11">COUNTIF(H13:H234,"NOT RUN")</f>
        <v>0</v>
      </c>
      <c r="I7" s="48">
        <f t="shared" si="11"/>
        <v>0</v>
      </c>
      <c r="J7" s="48">
        <f t="shared" ref="J7:K7" si="12">COUNTIF(M21:M207,"NOT RUN")</f>
        <v>0</v>
      </c>
      <c r="K7" s="48">
        <f t="shared" si="12"/>
        <v>0</v>
      </c>
      <c r="L7" s="48">
        <f t="shared" ref="L7:M7" si="13">COUNTIF(R21:R207,"NOT RUN")</f>
        <v>0</v>
      </c>
      <c r="M7" s="48">
        <f t="shared" si="13"/>
        <v>0</v>
      </c>
      <c r="N7" s="48">
        <f t="shared" si="7"/>
        <v>0</v>
      </c>
      <c r="O7" s="42"/>
      <c r="P7" s="42"/>
      <c r="Q7" s="42"/>
      <c r="R7" s="42"/>
      <c r="S7" s="42"/>
      <c r="T7" s="42"/>
      <c r="U7" s="42"/>
      <c r="V7" s="42"/>
      <c r="W7" s="41"/>
      <c r="X7" s="41"/>
      <c r="Y7" s="41"/>
      <c r="Z7" s="41"/>
    </row>
    <row r="8" ht="15.75" customHeight="1">
      <c r="A8" s="49"/>
      <c r="B8" s="49"/>
      <c r="C8" s="41"/>
      <c r="D8" s="49"/>
      <c r="E8" s="49"/>
      <c r="F8" s="41"/>
      <c r="G8" s="13" t="s">
        <v>72</v>
      </c>
      <c r="H8" s="48">
        <f t="shared" ref="H8:M8" si="14">COUNTA($G13:$G216)</f>
        <v>13</v>
      </c>
      <c r="I8" s="48">
        <f t="shared" si="14"/>
        <v>13</v>
      </c>
      <c r="J8" s="48">
        <f t="shared" si="14"/>
        <v>13</v>
      </c>
      <c r="K8" s="48">
        <f t="shared" si="14"/>
        <v>13</v>
      </c>
      <c r="L8" s="48">
        <f t="shared" si="14"/>
        <v>13</v>
      </c>
      <c r="M8" s="48">
        <f t="shared" si="14"/>
        <v>13</v>
      </c>
      <c r="N8" s="48">
        <f t="shared" si="7"/>
        <v>78</v>
      </c>
      <c r="O8" s="42"/>
      <c r="P8" s="42"/>
      <c r="Q8" s="42"/>
      <c r="R8" s="42"/>
      <c r="S8" s="42"/>
      <c r="T8" s="42"/>
      <c r="U8" s="42"/>
      <c r="V8" s="42"/>
      <c r="W8" s="41"/>
      <c r="X8" s="41"/>
      <c r="Y8" s="41"/>
      <c r="Z8" s="41"/>
    </row>
    <row r="9" ht="15.75" customHeight="1">
      <c r="A9" s="43"/>
      <c r="B9" s="41"/>
      <c r="C9" s="41"/>
      <c r="D9" s="41"/>
      <c r="E9" s="41"/>
      <c r="F9" s="41"/>
      <c r="G9" s="41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1"/>
      <c r="X9" s="41"/>
      <c r="Y9" s="41"/>
      <c r="Z9" s="41"/>
    </row>
    <row r="10" ht="15.75" customHeight="1">
      <c r="A10" s="28" t="s">
        <v>20</v>
      </c>
      <c r="B10" s="28" t="s">
        <v>73</v>
      </c>
      <c r="C10" s="28" t="s">
        <v>74</v>
      </c>
      <c r="D10" s="28" t="s">
        <v>75</v>
      </c>
      <c r="E10" s="28" t="s">
        <v>76</v>
      </c>
      <c r="F10" s="28" t="s">
        <v>77</v>
      </c>
      <c r="G10" s="28" t="s">
        <v>78</v>
      </c>
      <c r="H10" s="29" t="s">
        <v>45</v>
      </c>
      <c r="I10" s="30"/>
      <c r="J10" s="30"/>
      <c r="K10" s="30"/>
      <c r="L10" s="6"/>
      <c r="M10" s="29" t="s">
        <v>46</v>
      </c>
      <c r="N10" s="30"/>
      <c r="O10" s="30"/>
      <c r="P10" s="30"/>
      <c r="Q10" s="6"/>
      <c r="R10" s="29" t="s">
        <v>47</v>
      </c>
      <c r="S10" s="30"/>
      <c r="T10" s="30"/>
      <c r="U10" s="30"/>
      <c r="V10" s="6"/>
      <c r="W10" s="28" t="s">
        <v>27</v>
      </c>
      <c r="X10" s="12"/>
      <c r="Y10" s="12"/>
      <c r="Z10" s="12"/>
    </row>
    <row r="11" ht="15.75" customHeight="1">
      <c r="A11" s="32"/>
      <c r="B11" s="32"/>
      <c r="C11" s="32"/>
      <c r="D11" s="32"/>
      <c r="E11" s="32"/>
      <c r="F11" s="32"/>
      <c r="G11" s="32"/>
      <c r="H11" s="29" t="s">
        <v>79</v>
      </c>
      <c r="I11" s="30"/>
      <c r="J11" s="6"/>
      <c r="K11" s="28" t="s">
        <v>80</v>
      </c>
      <c r="L11" s="28" t="s">
        <v>81</v>
      </c>
      <c r="M11" s="29" t="s">
        <v>79</v>
      </c>
      <c r="N11" s="30"/>
      <c r="O11" s="6"/>
      <c r="P11" s="28" t="s">
        <v>80</v>
      </c>
      <c r="Q11" s="28" t="s">
        <v>81</v>
      </c>
      <c r="R11" s="29" t="s">
        <v>79</v>
      </c>
      <c r="S11" s="30"/>
      <c r="T11" s="6"/>
      <c r="U11" s="28" t="s">
        <v>80</v>
      </c>
      <c r="V11" s="28" t="s">
        <v>81</v>
      </c>
      <c r="W11" s="32"/>
      <c r="X11" s="41"/>
      <c r="Y11" s="41"/>
      <c r="Z11" s="41"/>
    </row>
    <row r="12" ht="15.75" customHeight="1">
      <c r="A12" s="34"/>
      <c r="B12" s="34"/>
      <c r="C12" s="34"/>
      <c r="D12" s="34"/>
      <c r="E12" s="34"/>
      <c r="F12" s="34"/>
      <c r="G12" s="34"/>
      <c r="H12" s="45" t="s">
        <v>48</v>
      </c>
      <c r="I12" s="45" t="s">
        <v>49</v>
      </c>
      <c r="J12" s="13" t="s">
        <v>82</v>
      </c>
      <c r="K12" s="34"/>
      <c r="L12" s="34"/>
      <c r="M12" s="45" t="s">
        <v>48</v>
      </c>
      <c r="N12" s="45" t="s">
        <v>49</v>
      </c>
      <c r="O12" s="13" t="s">
        <v>82</v>
      </c>
      <c r="P12" s="34"/>
      <c r="Q12" s="34"/>
      <c r="R12" s="45" t="s">
        <v>48</v>
      </c>
      <c r="S12" s="45" t="s">
        <v>49</v>
      </c>
      <c r="T12" s="13" t="s">
        <v>82</v>
      </c>
      <c r="U12" s="34"/>
      <c r="V12" s="34"/>
      <c r="W12" s="34"/>
      <c r="X12" s="41"/>
      <c r="Y12" s="41"/>
      <c r="Z12" s="41"/>
    </row>
    <row r="13">
      <c r="A13" s="17" t="str">
        <f t="shared" ref="A13:A25" si="15">"ID-00"&amp;(ROW()-(ROW($A$12)))</f>
        <v>ID-001</v>
      </c>
      <c r="B13" s="50" t="s">
        <v>137</v>
      </c>
      <c r="C13" s="50" t="s">
        <v>138</v>
      </c>
      <c r="D13" s="22" t="s">
        <v>139</v>
      </c>
      <c r="E13" s="22" t="s">
        <v>140</v>
      </c>
      <c r="F13" s="22" t="s">
        <v>141</v>
      </c>
      <c r="G13" s="22" t="s">
        <v>142</v>
      </c>
      <c r="H13" s="16" t="s">
        <v>50</v>
      </c>
      <c r="I13" s="21" t="s">
        <v>50</v>
      </c>
      <c r="J13" s="21" t="s">
        <v>88</v>
      </c>
      <c r="K13" s="35" t="s">
        <v>89</v>
      </c>
      <c r="L13" s="21" t="s">
        <v>90</v>
      </c>
      <c r="M13" s="21" t="s">
        <v>50</v>
      </c>
      <c r="N13" s="21" t="s">
        <v>50</v>
      </c>
      <c r="O13" s="21" t="s">
        <v>88</v>
      </c>
      <c r="P13" s="35" t="s">
        <v>91</v>
      </c>
      <c r="Q13" s="21" t="s">
        <v>90</v>
      </c>
      <c r="R13" s="21" t="s">
        <v>50</v>
      </c>
      <c r="S13" s="21" t="s">
        <v>50</v>
      </c>
      <c r="T13" s="21" t="s">
        <v>88</v>
      </c>
      <c r="U13" s="35" t="s">
        <v>53</v>
      </c>
      <c r="V13" s="21" t="s">
        <v>90</v>
      </c>
      <c r="W13" s="21" t="s">
        <v>92</v>
      </c>
      <c r="X13" s="41"/>
      <c r="Y13" s="41"/>
      <c r="Z13" s="41"/>
    </row>
    <row r="14">
      <c r="A14" s="17" t="str">
        <f t="shared" si="15"/>
        <v>ID-002</v>
      </c>
      <c r="B14" s="50" t="s">
        <v>143</v>
      </c>
      <c r="C14" s="50" t="s">
        <v>144</v>
      </c>
      <c r="D14" s="22" t="s">
        <v>145</v>
      </c>
      <c r="E14" s="22" t="s">
        <v>146</v>
      </c>
      <c r="F14" s="22" t="s">
        <v>147</v>
      </c>
      <c r="G14" s="22" t="s">
        <v>148</v>
      </c>
      <c r="H14" s="21" t="s">
        <v>51</v>
      </c>
      <c r="I14" s="21" t="s">
        <v>51</v>
      </c>
      <c r="J14" s="21" t="s">
        <v>149</v>
      </c>
      <c r="K14" s="35" t="s">
        <v>89</v>
      </c>
      <c r="L14" s="21" t="s">
        <v>90</v>
      </c>
      <c r="M14" s="21" t="s">
        <v>50</v>
      </c>
      <c r="N14" s="21" t="s">
        <v>50</v>
      </c>
      <c r="O14" s="21" t="s">
        <v>88</v>
      </c>
      <c r="P14" s="35" t="s">
        <v>91</v>
      </c>
      <c r="Q14" s="21" t="s">
        <v>90</v>
      </c>
      <c r="R14" s="21" t="s">
        <v>50</v>
      </c>
      <c r="S14" s="21" t="s">
        <v>50</v>
      </c>
      <c r="T14" s="21" t="s">
        <v>88</v>
      </c>
      <c r="U14" s="35" t="s">
        <v>53</v>
      </c>
      <c r="V14" s="21" t="s">
        <v>90</v>
      </c>
      <c r="W14" s="21" t="s">
        <v>92</v>
      </c>
      <c r="X14" s="41"/>
      <c r="Y14" s="41"/>
      <c r="Z14" s="41"/>
    </row>
    <row r="15">
      <c r="A15" s="17" t="str">
        <f t="shared" si="15"/>
        <v>ID-003</v>
      </c>
      <c r="B15" s="50" t="s">
        <v>143</v>
      </c>
      <c r="C15" s="50" t="s">
        <v>150</v>
      </c>
      <c r="D15" s="22" t="s">
        <v>145</v>
      </c>
      <c r="E15" s="22" t="s">
        <v>151</v>
      </c>
      <c r="F15" s="22" t="s">
        <v>152</v>
      </c>
      <c r="G15" s="22" t="s">
        <v>153</v>
      </c>
      <c r="H15" s="21" t="s">
        <v>51</v>
      </c>
      <c r="I15" s="21" t="s">
        <v>51</v>
      </c>
      <c r="J15" s="21" t="s">
        <v>154</v>
      </c>
      <c r="K15" s="35" t="s">
        <v>89</v>
      </c>
      <c r="L15" s="21" t="s">
        <v>90</v>
      </c>
      <c r="M15" s="21" t="s">
        <v>50</v>
      </c>
      <c r="N15" s="21" t="s">
        <v>50</v>
      </c>
      <c r="O15" s="21" t="s">
        <v>88</v>
      </c>
      <c r="P15" s="35" t="s">
        <v>91</v>
      </c>
      <c r="Q15" s="21" t="s">
        <v>90</v>
      </c>
      <c r="R15" s="21" t="s">
        <v>50</v>
      </c>
      <c r="S15" s="21" t="s">
        <v>50</v>
      </c>
      <c r="T15" s="21" t="s">
        <v>88</v>
      </c>
      <c r="U15" s="35" t="s">
        <v>53</v>
      </c>
      <c r="V15" s="21" t="s">
        <v>90</v>
      </c>
      <c r="W15" s="21" t="s">
        <v>92</v>
      </c>
      <c r="X15" s="41"/>
      <c r="Y15" s="41"/>
      <c r="Z15" s="41"/>
    </row>
    <row r="16">
      <c r="A16" s="17" t="str">
        <f t="shared" si="15"/>
        <v>ID-004</v>
      </c>
      <c r="B16" s="50" t="s">
        <v>143</v>
      </c>
      <c r="C16" s="50" t="s">
        <v>155</v>
      </c>
      <c r="D16" s="22" t="s">
        <v>145</v>
      </c>
      <c r="E16" s="22" t="s">
        <v>156</v>
      </c>
      <c r="F16" s="22" t="s">
        <v>157</v>
      </c>
      <c r="G16" s="22" t="s">
        <v>158</v>
      </c>
      <c r="H16" s="21" t="s">
        <v>50</v>
      </c>
      <c r="I16" s="21" t="s">
        <v>50</v>
      </c>
      <c r="J16" s="21" t="s">
        <v>88</v>
      </c>
      <c r="K16" s="35" t="s">
        <v>89</v>
      </c>
      <c r="L16" s="21" t="s">
        <v>90</v>
      </c>
      <c r="M16" s="21" t="s">
        <v>50</v>
      </c>
      <c r="N16" s="21" t="s">
        <v>50</v>
      </c>
      <c r="O16" s="21" t="s">
        <v>88</v>
      </c>
      <c r="P16" s="35" t="s">
        <v>91</v>
      </c>
      <c r="Q16" s="21" t="s">
        <v>90</v>
      </c>
      <c r="R16" s="21" t="s">
        <v>50</v>
      </c>
      <c r="S16" s="21" t="s">
        <v>50</v>
      </c>
      <c r="T16" s="21" t="s">
        <v>88</v>
      </c>
      <c r="U16" s="35" t="s">
        <v>53</v>
      </c>
      <c r="V16" s="21" t="s">
        <v>90</v>
      </c>
      <c r="W16" s="21" t="s">
        <v>92</v>
      </c>
      <c r="X16" s="41"/>
      <c r="Y16" s="41"/>
      <c r="Z16" s="41"/>
    </row>
    <row r="17">
      <c r="A17" s="17" t="str">
        <f t="shared" si="15"/>
        <v>ID-005</v>
      </c>
      <c r="B17" s="50" t="s">
        <v>143</v>
      </c>
      <c r="C17" s="50" t="s">
        <v>159</v>
      </c>
      <c r="D17" s="22" t="s">
        <v>145</v>
      </c>
      <c r="E17" s="22" t="s">
        <v>160</v>
      </c>
      <c r="F17" s="22" t="s">
        <v>161</v>
      </c>
      <c r="G17" s="22" t="s">
        <v>162</v>
      </c>
      <c r="H17" s="21" t="s">
        <v>51</v>
      </c>
      <c r="I17" s="21" t="s">
        <v>51</v>
      </c>
      <c r="J17" s="21" t="s">
        <v>163</v>
      </c>
      <c r="K17" s="35" t="s">
        <v>89</v>
      </c>
      <c r="L17" s="21" t="s">
        <v>90</v>
      </c>
      <c r="M17" s="21" t="s">
        <v>50</v>
      </c>
      <c r="N17" s="21" t="s">
        <v>50</v>
      </c>
      <c r="O17" s="21" t="s">
        <v>88</v>
      </c>
      <c r="P17" s="35" t="s">
        <v>91</v>
      </c>
      <c r="Q17" s="21" t="s">
        <v>90</v>
      </c>
      <c r="R17" s="21" t="s">
        <v>50</v>
      </c>
      <c r="S17" s="21" t="s">
        <v>50</v>
      </c>
      <c r="T17" s="21" t="s">
        <v>88</v>
      </c>
      <c r="U17" s="35" t="s">
        <v>53</v>
      </c>
      <c r="V17" s="21" t="s">
        <v>90</v>
      </c>
      <c r="W17" s="21" t="s">
        <v>92</v>
      </c>
      <c r="X17" s="41"/>
      <c r="Y17" s="41"/>
      <c r="Z17" s="41"/>
    </row>
    <row r="18">
      <c r="A18" s="17" t="str">
        <f t="shared" si="15"/>
        <v>ID-006</v>
      </c>
      <c r="B18" s="50" t="s">
        <v>137</v>
      </c>
      <c r="C18" s="50" t="s">
        <v>164</v>
      </c>
      <c r="D18" s="22" t="s">
        <v>145</v>
      </c>
      <c r="E18" s="22" t="s">
        <v>165</v>
      </c>
      <c r="F18" s="22" t="s">
        <v>166</v>
      </c>
      <c r="G18" s="22" t="s">
        <v>167</v>
      </c>
      <c r="H18" s="21" t="s">
        <v>51</v>
      </c>
      <c r="I18" s="21" t="s">
        <v>51</v>
      </c>
      <c r="J18" s="21" t="s">
        <v>168</v>
      </c>
      <c r="K18" s="35" t="s">
        <v>89</v>
      </c>
      <c r="L18" s="21" t="s">
        <v>90</v>
      </c>
      <c r="M18" s="21" t="s">
        <v>50</v>
      </c>
      <c r="N18" s="21" t="s">
        <v>50</v>
      </c>
      <c r="O18" s="21" t="s">
        <v>88</v>
      </c>
      <c r="P18" s="35" t="s">
        <v>91</v>
      </c>
      <c r="Q18" s="21" t="s">
        <v>90</v>
      </c>
      <c r="R18" s="21" t="s">
        <v>50</v>
      </c>
      <c r="S18" s="21" t="s">
        <v>50</v>
      </c>
      <c r="T18" s="21" t="s">
        <v>88</v>
      </c>
      <c r="U18" s="35" t="s">
        <v>53</v>
      </c>
      <c r="V18" s="21" t="s">
        <v>90</v>
      </c>
      <c r="W18" s="21" t="s">
        <v>92</v>
      </c>
      <c r="X18" s="41"/>
      <c r="Y18" s="41"/>
      <c r="Z18" s="41"/>
    </row>
    <row r="19">
      <c r="A19" s="17" t="str">
        <f t="shared" si="15"/>
        <v>ID-007</v>
      </c>
      <c r="B19" s="50" t="s">
        <v>101</v>
      </c>
      <c r="C19" s="50" t="s">
        <v>169</v>
      </c>
      <c r="D19" s="22" t="s">
        <v>145</v>
      </c>
      <c r="E19" s="22" t="s">
        <v>170</v>
      </c>
      <c r="F19" s="22" t="s">
        <v>171</v>
      </c>
      <c r="G19" s="22" t="s">
        <v>172</v>
      </c>
      <c r="H19" s="21" t="s">
        <v>50</v>
      </c>
      <c r="I19" s="21" t="s">
        <v>50</v>
      </c>
      <c r="J19" s="21" t="s">
        <v>88</v>
      </c>
      <c r="K19" s="35" t="s">
        <v>89</v>
      </c>
      <c r="L19" s="21" t="s">
        <v>90</v>
      </c>
      <c r="M19" s="21" t="s">
        <v>50</v>
      </c>
      <c r="N19" s="21" t="s">
        <v>50</v>
      </c>
      <c r="O19" s="21" t="s">
        <v>88</v>
      </c>
      <c r="P19" s="35" t="s">
        <v>91</v>
      </c>
      <c r="Q19" s="21" t="s">
        <v>90</v>
      </c>
      <c r="R19" s="21" t="s">
        <v>50</v>
      </c>
      <c r="S19" s="21" t="s">
        <v>50</v>
      </c>
      <c r="T19" s="21" t="s">
        <v>88</v>
      </c>
      <c r="U19" s="35" t="s">
        <v>53</v>
      </c>
      <c r="V19" s="21" t="s">
        <v>90</v>
      </c>
      <c r="W19" s="21" t="s">
        <v>92</v>
      </c>
      <c r="X19" s="41"/>
      <c r="Y19" s="41"/>
      <c r="Z19" s="41"/>
    </row>
    <row r="20">
      <c r="A20" s="17" t="str">
        <f t="shared" si="15"/>
        <v>ID-008</v>
      </c>
      <c r="B20" s="50" t="s">
        <v>143</v>
      </c>
      <c r="C20" s="50" t="s">
        <v>173</v>
      </c>
      <c r="D20" s="22" t="s">
        <v>174</v>
      </c>
      <c r="E20" s="22" t="s">
        <v>175</v>
      </c>
      <c r="F20" s="22" t="s">
        <v>176</v>
      </c>
      <c r="G20" s="22" t="s">
        <v>177</v>
      </c>
      <c r="H20" s="21" t="s">
        <v>51</v>
      </c>
      <c r="I20" s="16" t="s">
        <v>51</v>
      </c>
      <c r="J20" s="21" t="s">
        <v>178</v>
      </c>
      <c r="K20" s="35" t="s">
        <v>89</v>
      </c>
      <c r="L20" s="21" t="s">
        <v>90</v>
      </c>
      <c r="M20" s="21" t="s">
        <v>50</v>
      </c>
      <c r="N20" s="21" t="s">
        <v>50</v>
      </c>
      <c r="O20" s="21" t="s">
        <v>88</v>
      </c>
      <c r="P20" s="35" t="s">
        <v>91</v>
      </c>
      <c r="Q20" s="21" t="s">
        <v>90</v>
      </c>
      <c r="R20" s="21" t="s">
        <v>50</v>
      </c>
      <c r="S20" s="21" t="s">
        <v>50</v>
      </c>
      <c r="T20" s="21" t="s">
        <v>88</v>
      </c>
      <c r="U20" s="35" t="s">
        <v>53</v>
      </c>
      <c r="V20" s="21" t="s">
        <v>90</v>
      </c>
      <c r="W20" s="21" t="s">
        <v>92</v>
      </c>
      <c r="X20" s="41"/>
      <c r="Y20" s="41"/>
      <c r="Z20" s="41"/>
    </row>
    <row r="21">
      <c r="A21" s="17" t="str">
        <f t="shared" si="15"/>
        <v>ID-009</v>
      </c>
      <c r="B21" s="50" t="s">
        <v>143</v>
      </c>
      <c r="C21" s="50" t="s">
        <v>179</v>
      </c>
      <c r="D21" s="22" t="s">
        <v>174</v>
      </c>
      <c r="E21" s="22" t="s">
        <v>180</v>
      </c>
      <c r="F21" s="22" t="s">
        <v>181</v>
      </c>
      <c r="G21" s="22" t="s">
        <v>182</v>
      </c>
      <c r="H21" s="21" t="s">
        <v>51</v>
      </c>
      <c r="I21" s="21" t="s">
        <v>51</v>
      </c>
      <c r="J21" s="21" t="s">
        <v>183</v>
      </c>
      <c r="K21" s="35" t="s">
        <v>89</v>
      </c>
      <c r="L21" s="21" t="s">
        <v>90</v>
      </c>
      <c r="M21" s="21" t="s">
        <v>50</v>
      </c>
      <c r="N21" s="21" t="s">
        <v>50</v>
      </c>
      <c r="O21" s="21" t="s">
        <v>88</v>
      </c>
      <c r="P21" s="35" t="s">
        <v>91</v>
      </c>
      <c r="Q21" s="21" t="s">
        <v>90</v>
      </c>
      <c r="R21" s="21" t="s">
        <v>50</v>
      </c>
      <c r="S21" s="21" t="s">
        <v>50</v>
      </c>
      <c r="T21" s="21" t="s">
        <v>88</v>
      </c>
      <c r="U21" s="35" t="s">
        <v>53</v>
      </c>
      <c r="V21" s="21" t="s">
        <v>90</v>
      </c>
      <c r="W21" s="21" t="s">
        <v>92</v>
      </c>
      <c r="X21" s="41"/>
      <c r="Y21" s="41"/>
      <c r="Z21" s="41"/>
    </row>
    <row r="22">
      <c r="A22" s="17" t="str">
        <f t="shared" si="15"/>
        <v>ID-0010</v>
      </c>
      <c r="B22" s="50" t="s">
        <v>143</v>
      </c>
      <c r="C22" s="50" t="s">
        <v>184</v>
      </c>
      <c r="D22" s="22" t="s">
        <v>174</v>
      </c>
      <c r="E22" s="22" t="s">
        <v>185</v>
      </c>
      <c r="F22" s="22" t="s">
        <v>186</v>
      </c>
      <c r="G22" s="22" t="s">
        <v>187</v>
      </c>
      <c r="H22" s="21" t="s">
        <v>50</v>
      </c>
      <c r="I22" s="21" t="s">
        <v>50</v>
      </c>
      <c r="J22" s="21" t="s">
        <v>88</v>
      </c>
      <c r="K22" s="35" t="s">
        <v>89</v>
      </c>
      <c r="L22" s="21" t="s">
        <v>90</v>
      </c>
      <c r="M22" s="21" t="s">
        <v>50</v>
      </c>
      <c r="N22" s="21" t="s">
        <v>50</v>
      </c>
      <c r="O22" s="21" t="s">
        <v>88</v>
      </c>
      <c r="P22" s="35" t="s">
        <v>91</v>
      </c>
      <c r="Q22" s="21" t="s">
        <v>90</v>
      </c>
      <c r="R22" s="21" t="s">
        <v>50</v>
      </c>
      <c r="S22" s="21" t="s">
        <v>50</v>
      </c>
      <c r="T22" s="21" t="s">
        <v>88</v>
      </c>
      <c r="U22" s="35" t="s">
        <v>53</v>
      </c>
      <c r="V22" s="21" t="s">
        <v>90</v>
      </c>
      <c r="W22" s="21" t="s">
        <v>92</v>
      </c>
      <c r="X22" s="41"/>
      <c r="Y22" s="41"/>
      <c r="Z22" s="41"/>
    </row>
    <row r="23">
      <c r="A23" s="17" t="str">
        <f t="shared" si="15"/>
        <v>ID-0011</v>
      </c>
      <c r="B23" s="50" t="s">
        <v>143</v>
      </c>
      <c r="C23" s="50" t="s">
        <v>188</v>
      </c>
      <c r="D23" s="22" t="s">
        <v>174</v>
      </c>
      <c r="E23" s="22" t="s">
        <v>189</v>
      </c>
      <c r="F23" s="22" t="s">
        <v>190</v>
      </c>
      <c r="G23" s="22" t="s">
        <v>191</v>
      </c>
      <c r="H23" s="21" t="s">
        <v>50</v>
      </c>
      <c r="I23" s="21" t="s">
        <v>50</v>
      </c>
      <c r="J23" s="21" t="s">
        <v>88</v>
      </c>
      <c r="K23" s="35" t="s">
        <v>89</v>
      </c>
      <c r="L23" s="21" t="s">
        <v>90</v>
      </c>
      <c r="M23" s="21" t="s">
        <v>50</v>
      </c>
      <c r="N23" s="21" t="s">
        <v>50</v>
      </c>
      <c r="O23" s="21" t="s">
        <v>88</v>
      </c>
      <c r="P23" s="35" t="s">
        <v>91</v>
      </c>
      <c r="Q23" s="21" t="s">
        <v>90</v>
      </c>
      <c r="R23" s="21" t="s">
        <v>50</v>
      </c>
      <c r="S23" s="21" t="s">
        <v>50</v>
      </c>
      <c r="T23" s="21" t="s">
        <v>88</v>
      </c>
      <c r="U23" s="35" t="s">
        <v>53</v>
      </c>
      <c r="V23" s="21" t="s">
        <v>90</v>
      </c>
      <c r="W23" s="21" t="s">
        <v>92</v>
      </c>
      <c r="X23" s="41"/>
      <c r="Y23" s="41"/>
      <c r="Z23" s="41"/>
    </row>
    <row r="24">
      <c r="A24" s="17" t="str">
        <f t="shared" si="15"/>
        <v>ID-0012</v>
      </c>
      <c r="B24" s="50" t="s">
        <v>143</v>
      </c>
      <c r="C24" s="50" t="s">
        <v>192</v>
      </c>
      <c r="D24" s="22" t="s">
        <v>174</v>
      </c>
      <c r="E24" s="22" t="s">
        <v>193</v>
      </c>
      <c r="F24" s="22" t="s">
        <v>194</v>
      </c>
      <c r="G24" s="22" t="s">
        <v>195</v>
      </c>
      <c r="H24" s="21" t="s">
        <v>50</v>
      </c>
      <c r="I24" s="21" t="s">
        <v>50</v>
      </c>
      <c r="J24" s="21" t="s">
        <v>88</v>
      </c>
      <c r="K24" s="35" t="s">
        <v>89</v>
      </c>
      <c r="L24" s="21" t="s">
        <v>90</v>
      </c>
      <c r="M24" s="21" t="s">
        <v>50</v>
      </c>
      <c r="N24" s="21" t="s">
        <v>50</v>
      </c>
      <c r="O24" s="21" t="s">
        <v>88</v>
      </c>
      <c r="P24" s="35" t="s">
        <v>91</v>
      </c>
      <c r="Q24" s="21" t="s">
        <v>90</v>
      </c>
      <c r="R24" s="21" t="s">
        <v>50</v>
      </c>
      <c r="S24" s="21" t="s">
        <v>50</v>
      </c>
      <c r="T24" s="21" t="s">
        <v>88</v>
      </c>
      <c r="U24" s="35" t="s">
        <v>53</v>
      </c>
      <c r="V24" s="21" t="s">
        <v>90</v>
      </c>
      <c r="W24" s="21" t="s">
        <v>92</v>
      </c>
      <c r="X24" s="41"/>
      <c r="Y24" s="41"/>
      <c r="Z24" s="41"/>
    </row>
    <row r="25">
      <c r="A25" s="17" t="str">
        <f t="shared" si="15"/>
        <v>ID-0013</v>
      </c>
      <c r="B25" s="50" t="s">
        <v>143</v>
      </c>
      <c r="C25" s="50" t="s">
        <v>196</v>
      </c>
      <c r="D25" s="22" t="s">
        <v>174</v>
      </c>
      <c r="E25" s="22" t="s">
        <v>197</v>
      </c>
      <c r="F25" s="22" t="s">
        <v>198</v>
      </c>
      <c r="G25" s="22" t="s">
        <v>199</v>
      </c>
      <c r="H25" s="21" t="s">
        <v>51</v>
      </c>
      <c r="I25" s="21" t="s">
        <v>51</v>
      </c>
      <c r="J25" s="21" t="s">
        <v>200</v>
      </c>
      <c r="K25" s="35" t="s">
        <v>89</v>
      </c>
      <c r="L25" s="21" t="s">
        <v>90</v>
      </c>
      <c r="M25" s="21" t="s">
        <v>51</v>
      </c>
      <c r="N25" s="21" t="s">
        <v>51</v>
      </c>
      <c r="O25" s="21" t="s">
        <v>200</v>
      </c>
      <c r="P25" s="35" t="s">
        <v>91</v>
      </c>
      <c r="Q25" s="21" t="s">
        <v>90</v>
      </c>
      <c r="R25" s="21" t="s">
        <v>50</v>
      </c>
      <c r="S25" s="21" t="s">
        <v>50</v>
      </c>
      <c r="T25" s="21" t="s">
        <v>88</v>
      </c>
      <c r="U25" s="35" t="s">
        <v>53</v>
      </c>
      <c r="V25" s="21" t="s">
        <v>90</v>
      </c>
      <c r="W25" s="21" t="s">
        <v>92</v>
      </c>
      <c r="X25" s="41"/>
      <c r="Y25" s="41"/>
      <c r="Z25" s="41"/>
    </row>
    <row r="26" ht="15.75" customHeight="1">
      <c r="A26" s="43"/>
      <c r="B26" s="41"/>
      <c r="C26" s="41"/>
      <c r="D26" s="41"/>
      <c r="E26" s="41"/>
      <c r="F26" s="41"/>
      <c r="G26" s="41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1"/>
      <c r="X26" s="41"/>
      <c r="Y26" s="41"/>
      <c r="Z26" s="41"/>
    </row>
    <row r="27" ht="15.75" customHeight="1">
      <c r="A27" s="43"/>
      <c r="B27" s="41"/>
      <c r="C27" s="41"/>
      <c r="D27" s="41"/>
      <c r="E27" s="41"/>
      <c r="F27" s="41"/>
      <c r="G27" s="41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1"/>
      <c r="X27" s="41"/>
      <c r="Y27" s="41"/>
      <c r="Z27" s="41"/>
    </row>
    <row r="28" ht="15.75" customHeight="1">
      <c r="A28" s="43"/>
      <c r="B28" s="41"/>
      <c r="C28" s="41"/>
      <c r="D28" s="41"/>
      <c r="E28" s="41"/>
      <c r="F28" s="41"/>
      <c r="G28" s="41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1"/>
      <c r="X28" s="41"/>
      <c r="Y28" s="41"/>
      <c r="Z28" s="41"/>
    </row>
    <row r="29" ht="15.75" customHeight="1">
      <c r="A29" s="43"/>
      <c r="B29" s="41"/>
      <c r="C29" s="41"/>
      <c r="D29" s="41"/>
      <c r="E29" s="41"/>
      <c r="F29" s="41"/>
      <c r="G29" s="41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1"/>
      <c r="X29" s="41"/>
      <c r="Y29" s="41"/>
      <c r="Z29" s="41"/>
    </row>
    <row r="30" ht="15.75" customHeight="1">
      <c r="A30" s="43"/>
      <c r="B30" s="41"/>
      <c r="C30" s="41"/>
      <c r="D30" s="41"/>
      <c r="E30" s="41"/>
      <c r="F30" s="41"/>
      <c r="G30" s="41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1"/>
      <c r="X30" s="41"/>
      <c r="Y30" s="41"/>
      <c r="Z30" s="41"/>
    </row>
    <row r="31" ht="15.75" customHeight="1">
      <c r="A31" s="43"/>
      <c r="B31" s="41"/>
      <c r="C31" s="41"/>
      <c r="D31" s="41"/>
      <c r="E31" s="41"/>
      <c r="F31" s="41"/>
      <c r="G31" s="4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1"/>
      <c r="X31" s="41"/>
      <c r="Y31" s="41"/>
      <c r="Z31" s="41"/>
    </row>
    <row r="32" ht="15.75" customHeight="1">
      <c r="A32" s="43"/>
      <c r="B32" s="41"/>
      <c r="C32" s="41"/>
      <c r="D32" s="41"/>
      <c r="E32" s="41"/>
      <c r="F32" s="41"/>
      <c r="G32" s="41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1"/>
      <c r="X32" s="41"/>
      <c r="Y32" s="41"/>
      <c r="Z32" s="41"/>
    </row>
    <row r="33" ht="15.75" customHeight="1">
      <c r="A33" s="43"/>
      <c r="B33" s="41"/>
      <c r="C33" s="41"/>
      <c r="D33" s="41"/>
      <c r="E33" s="41"/>
      <c r="F33" s="41"/>
      <c r="G33" s="41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1"/>
      <c r="X33" s="41"/>
      <c r="Y33" s="41"/>
      <c r="Z33" s="41"/>
    </row>
    <row r="34" ht="15.75" customHeight="1">
      <c r="A34" s="43"/>
      <c r="B34" s="41"/>
      <c r="C34" s="41"/>
      <c r="D34" s="41"/>
      <c r="E34" s="41"/>
      <c r="F34" s="41"/>
      <c r="G34" s="41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1"/>
      <c r="X34" s="41"/>
      <c r="Y34" s="41"/>
      <c r="Z34" s="41"/>
    </row>
    <row r="35" ht="15.75" customHeight="1">
      <c r="A35" s="43"/>
      <c r="B35" s="41"/>
      <c r="C35" s="41"/>
      <c r="D35" s="41"/>
      <c r="E35" s="41"/>
      <c r="F35" s="41"/>
      <c r="G35" s="41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1"/>
      <c r="X35" s="41"/>
      <c r="Y35" s="41"/>
      <c r="Z35" s="41"/>
    </row>
    <row r="36" ht="15.75" customHeight="1">
      <c r="A36" s="43"/>
      <c r="B36" s="41"/>
      <c r="C36" s="41"/>
      <c r="D36" s="41"/>
      <c r="E36" s="41"/>
      <c r="F36" s="41"/>
      <c r="G36" s="41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1"/>
      <c r="X36" s="41"/>
      <c r="Y36" s="41"/>
      <c r="Z36" s="41"/>
    </row>
    <row r="37" ht="15.75" customHeight="1">
      <c r="A37" s="43"/>
      <c r="B37" s="41"/>
      <c r="C37" s="41"/>
      <c r="D37" s="41"/>
      <c r="E37" s="41"/>
      <c r="F37" s="41"/>
      <c r="G37" s="41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1"/>
      <c r="X37" s="41"/>
      <c r="Y37" s="41"/>
      <c r="Z37" s="41"/>
    </row>
    <row r="38" ht="15.75" customHeight="1">
      <c r="A38" s="43"/>
      <c r="B38" s="41"/>
      <c r="C38" s="41"/>
      <c r="D38" s="41"/>
      <c r="E38" s="41"/>
      <c r="F38" s="41"/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1"/>
      <c r="X38" s="41"/>
      <c r="Y38" s="41"/>
      <c r="Z38" s="41"/>
    </row>
    <row r="39" ht="15.75" customHeight="1">
      <c r="A39" s="43"/>
      <c r="B39" s="41"/>
      <c r="C39" s="41"/>
      <c r="D39" s="41"/>
      <c r="E39" s="41"/>
      <c r="F39" s="41"/>
      <c r="G39" s="41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1"/>
      <c r="X39" s="41"/>
      <c r="Y39" s="41"/>
      <c r="Z39" s="41"/>
    </row>
    <row r="40" ht="15.75" customHeight="1">
      <c r="A40" s="43"/>
      <c r="B40" s="41"/>
      <c r="C40" s="41"/>
      <c r="D40" s="41"/>
      <c r="E40" s="41"/>
      <c r="F40" s="41"/>
      <c r="G40" s="41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1"/>
      <c r="X40" s="41"/>
      <c r="Y40" s="41"/>
      <c r="Z40" s="41"/>
    </row>
    <row r="41" ht="15.75" customHeight="1">
      <c r="A41" s="43"/>
      <c r="B41" s="41"/>
      <c r="C41" s="41"/>
      <c r="D41" s="41"/>
      <c r="E41" s="4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1"/>
      <c r="X41" s="41"/>
      <c r="Y41" s="41"/>
      <c r="Z41" s="41"/>
    </row>
    <row r="42" ht="15.75" customHeight="1">
      <c r="A42" s="43"/>
      <c r="B42" s="41"/>
      <c r="C42" s="41"/>
      <c r="D42" s="41"/>
      <c r="E42" s="41"/>
      <c r="F42" s="41"/>
      <c r="G42" s="41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1"/>
      <c r="X42" s="41"/>
      <c r="Y42" s="41"/>
      <c r="Z42" s="41"/>
    </row>
    <row r="43" ht="15.75" customHeight="1">
      <c r="A43" s="43"/>
      <c r="B43" s="41"/>
      <c r="C43" s="41"/>
      <c r="D43" s="41"/>
      <c r="E43" s="41"/>
      <c r="F43" s="41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1"/>
      <c r="X43" s="41"/>
      <c r="Y43" s="41"/>
      <c r="Z43" s="41"/>
    </row>
    <row r="44" ht="15.75" customHeight="1">
      <c r="A44" s="43"/>
      <c r="B44" s="41"/>
      <c r="C44" s="41"/>
      <c r="D44" s="41"/>
      <c r="E44" s="41"/>
      <c r="F44" s="41"/>
      <c r="G44" s="41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1"/>
      <c r="X44" s="41"/>
      <c r="Y44" s="41"/>
      <c r="Z44" s="41"/>
    </row>
    <row r="45" ht="15.75" customHeight="1">
      <c r="A45" s="43"/>
      <c r="B45" s="41"/>
      <c r="C45" s="41"/>
      <c r="D45" s="41"/>
      <c r="E45" s="4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1"/>
      <c r="X45" s="41"/>
      <c r="Y45" s="41"/>
      <c r="Z45" s="41"/>
    </row>
    <row r="46" ht="15.75" customHeight="1">
      <c r="A46" s="43"/>
      <c r="B46" s="41"/>
      <c r="C46" s="41"/>
      <c r="D46" s="41"/>
      <c r="E46" s="41"/>
      <c r="F46" s="41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1"/>
      <c r="X46" s="41"/>
      <c r="Y46" s="41"/>
      <c r="Z46" s="41"/>
    </row>
    <row r="47" ht="15.75" customHeight="1">
      <c r="A47" s="43"/>
      <c r="B47" s="41"/>
      <c r="C47" s="41"/>
      <c r="D47" s="41"/>
      <c r="E47" s="41"/>
      <c r="F47" s="41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1"/>
      <c r="X47" s="41"/>
      <c r="Y47" s="41"/>
      <c r="Z47" s="41"/>
    </row>
    <row r="48" ht="15.75" customHeight="1">
      <c r="A48" s="43"/>
      <c r="B48" s="41"/>
      <c r="C48" s="41"/>
      <c r="D48" s="41"/>
      <c r="E48" s="41"/>
      <c r="F48" s="41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1"/>
      <c r="X48" s="41"/>
      <c r="Y48" s="41"/>
      <c r="Z48" s="41"/>
    </row>
    <row r="49" ht="15.75" customHeight="1">
      <c r="A49" s="43"/>
      <c r="B49" s="41"/>
      <c r="C49" s="41"/>
      <c r="D49" s="41"/>
      <c r="E49" s="41"/>
      <c r="F49" s="41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1"/>
      <c r="X49" s="41"/>
      <c r="Y49" s="41"/>
      <c r="Z49" s="41"/>
    </row>
    <row r="50" ht="15.75" customHeight="1">
      <c r="A50" s="43"/>
      <c r="B50" s="41"/>
      <c r="C50" s="41"/>
      <c r="D50" s="41"/>
      <c r="E50" s="41"/>
      <c r="F50" s="41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1"/>
      <c r="X50" s="41"/>
      <c r="Y50" s="41"/>
      <c r="Z50" s="41"/>
    </row>
    <row r="51" ht="15.75" customHeight="1">
      <c r="A51" s="43"/>
      <c r="B51" s="41"/>
      <c r="C51" s="41"/>
      <c r="D51" s="41"/>
      <c r="E51" s="41"/>
      <c r="F51" s="41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1"/>
      <c r="X51" s="41"/>
      <c r="Y51" s="41"/>
      <c r="Z51" s="41"/>
    </row>
    <row r="52" ht="15.75" customHeight="1">
      <c r="A52" s="43"/>
      <c r="B52" s="41"/>
      <c r="C52" s="41"/>
      <c r="D52" s="41"/>
      <c r="E52" s="41"/>
      <c r="F52" s="41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1"/>
      <c r="X52" s="41"/>
      <c r="Y52" s="41"/>
      <c r="Z52" s="41"/>
    </row>
    <row r="53" ht="15.75" customHeight="1">
      <c r="A53" s="43"/>
      <c r="B53" s="41"/>
      <c r="C53" s="41"/>
      <c r="D53" s="41"/>
      <c r="E53" s="41"/>
      <c r="F53" s="41"/>
      <c r="G53" s="41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1"/>
      <c r="X53" s="41"/>
      <c r="Y53" s="41"/>
      <c r="Z53" s="41"/>
    </row>
    <row r="54" ht="15.75" customHeight="1">
      <c r="A54" s="43"/>
      <c r="B54" s="41"/>
      <c r="C54" s="41"/>
      <c r="D54" s="41"/>
      <c r="E54" s="41"/>
      <c r="F54" s="41"/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1"/>
      <c r="X54" s="41"/>
      <c r="Y54" s="41"/>
      <c r="Z54" s="41"/>
    </row>
    <row r="55" ht="15.75" customHeight="1">
      <c r="A55" s="43"/>
      <c r="B55" s="41"/>
      <c r="C55" s="41"/>
      <c r="D55" s="41"/>
      <c r="E55" s="41"/>
      <c r="F55" s="41"/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1"/>
      <c r="X55" s="41"/>
      <c r="Y55" s="41"/>
      <c r="Z55" s="41"/>
    </row>
    <row r="56" ht="15.75" customHeight="1">
      <c r="A56" s="43"/>
      <c r="B56" s="41"/>
      <c r="C56" s="41"/>
      <c r="D56" s="41"/>
      <c r="E56" s="41"/>
      <c r="F56" s="41"/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1"/>
      <c r="X56" s="41"/>
      <c r="Y56" s="41"/>
      <c r="Z56" s="41"/>
    </row>
    <row r="57" ht="15.75" customHeight="1">
      <c r="A57" s="43"/>
      <c r="B57" s="41"/>
      <c r="C57" s="41"/>
      <c r="D57" s="41"/>
      <c r="E57" s="4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1"/>
      <c r="X57" s="41"/>
      <c r="Y57" s="41"/>
      <c r="Z57" s="41"/>
    </row>
    <row r="58" ht="15.75" customHeight="1">
      <c r="A58" s="43"/>
      <c r="B58" s="41"/>
      <c r="C58" s="41"/>
      <c r="D58" s="41"/>
      <c r="E58" s="41"/>
      <c r="F58" s="41"/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1"/>
      <c r="X58" s="41"/>
      <c r="Y58" s="41"/>
      <c r="Z58" s="41"/>
    </row>
    <row r="59" ht="15.75" customHeight="1">
      <c r="A59" s="43"/>
      <c r="B59" s="41"/>
      <c r="C59" s="41"/>
      <c r="D59" s="41"/>
      <c r="E59" s="41"/>
      <c r="F59" s="41"/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1"/>
      <c r="X59" s="41"/>
      <c r="Y59" s="41"/>
      <c r="Z59" s="41"/>
    </row>
    <row r="60" ht="15.75" customHeight="1">
      <c r="A60" s="43"/>
      <c r="B60" s="41"/>
      <c r="C60" s="41"/>
      <c r="D60" s="41"/>
      <c r="E60" s="41"/>
      <c r="F60" s="41"/>
      <c r="G60" s="41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1"/>
      <c r="X60" s="41"/>
      <c r="Y60" s="41"/>
      <c r="Z60" s="41"/>
    </row>
    <row r="61" ht="15.75" customHeight="1">
      <c r="A61" s="43"/>
      <c r="B61" s="41"/>
      <c r="C61" s="41"/>
      <c r="D61" s="41"/>
      <c r="E61" s="41"/>
      <c r="F61" s="41"/>
      <c r="G61" s="41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1"/>
      <c r="X61" s="41"/>
      <c r="Y61" s="41"/>
      <c r="Z61" s="41"/>
    </row>
    <row r="62" ht="15.75" customHeight="1">
      <c r="A62" s="43"/>
      <c r="B62" s="41"/>
      <c r="C62" s="41"/>
      <c r="D62" s="41"/>
      <c r="E62" s="41"/>
      <c r="F62" s="41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1"/>
      <c r="X62" s="41"/>
      <c r="Y62" s="41"/>
      <c r="Z62" s="41"/>
    </row>
    <row r="63" ht="15.75" customHeight="1">
      <c r="A63" s="43"/>
      <c r="B63" s="41"/>
      <c r="C63" s="41"/>
      <c r="D63" s="41"/>
      <c r="E63" s="41"/>
      <c r="F63" s="41"/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1"/>
      <c r="X63" s="41"/>
      <c r="Y63" s="41"/>
      <c r="Z63" s="41"/>
    </row>
    <row r="64" ht="15.75" customHeight="1">
      <c r="A64" s="43"/>
      <c r="B64" s="41"/>
      <c r="C64" s="41"/>
      <c r="D64" s="41"/>
      <c r="E64" s="41"/>
      <c r="F64" s="41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1"/>
      <c r="X64" s="41"/>
      <c r="Y64" s="41"/>
      <c r="Z64" s="41"/>
    </row>
    <row r="65" ht="15.75" customHeight="1">
      <c r="A65" s="43"/>
      <c r="B65" s="41"/>
      <c r="C65" s="41"/>
      <c r="D65" s="41"/>
      <c r="E65" s="41"/>
      <c r="F65" s="41"/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1"/>
      <c r="X65" s="41"/>
      <c r="Y65" s="41"/>
      <c r="Z65" s="41"/>
    </row>
    <row r="66" ht="15.75" customHeight="1">
      <c r="A66" s="43"/>
      <c r="B66" s="41"/>
      <c r="C66" s="41"/>
      <c r="D66" s="41"/>
      <c r="E66" s="4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1"/>
      <c r="X66" s="41"/>
      <c r="Y66" s="41"/>
      <c r="Z66" s="41"/>
    </row>
    <row r="67" ht="15.75" customHeight="1">
      <c r="A67" s="43"/>
      <c r="B67" s="41"/>
      <c r="C67" s="41"/>
      <c r="D67" s="41"/>
      <c r="E67" s="41"/>
      <c r="F67" s="41"/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1"/>
      <c r="X67" s="41"/>
      <c r="Y67" s="41"/>
      <c r="Z67" s="41"/>
    </row>
    <row r="68" ht="15.75" customHeight="1">
      <c r="A68" s="43"/>
      <c r="B68" s="41"/>
      <c r="C68" s="41"/>
      <c r="D68" s="41"/>
      <c r="E68" s="41"/>
      <c r="F68" s="41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1"/>
      <c r="X68" s="41"/>
      <c r="Y68" s="41"/>
      <c r="Z68" s="41"/>
    </row>
    <row r="69" ht="15.75" customHeight="1">
      <c r="A69" s="43"/>
      <c r="B69" s="41"/>
      <c r="C69" s="41"/>
      <c r="D69" s="41"/>
      <c r="E69" s="41"/>
      <c r="F69" s="41"/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1"/>
      <c r="X69" s="41"/>
      <c r="Y69" s="41"/>
      <c r="Z69" s="41"/>
    </row>
    <row r="70" ht="15.75" customHeight="1">
      <c r="A70" s="43"/>
      <c r="B70" s="41"/>
      <c r="C70" s="41"/>
      <c r="D70" s="41"/>
      <c r="E70" s="41"/>
      <c r="F70" s="41"/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1"/>
      <c r="X70" s="41"/>
      <c r="Y70" s="41"/>
      <c r="Z70" s="41"/>
    </row>
    <row r="71" ht="15.75" customHeight="1">
      <c r="A71" s="43"/>
      <c r="B71" s="41"/>
      <c r="C71" s="41"/>
      <c r="D71" s="41"/>
      <c r="E71" s="41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1"/>
      <c r="X71" s="41"/>
      <c r="Y71" s="41"/>
      <c r="Z71" s="41"/>
    </row>
    <row r="72" ht="15.75" customHeight="1">
      <c r="A72" s="43"/>
      <c r="B72" s="41"/>
      <c r="C72" s="41"/>
      <c r="D72" s="41"/>
      <c r="E72" s="41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1"/>
      <c r="X72" s="41"/>
      <c r="Y72" s="41"/>
      <c r="Z72" s="41"/>
    </row>
    <row r="73" ht="15.75" customHeight="1">
      <c r="A73" s="43"/>
      <c r="B73" s="41"/>
      <c r="C73" s="41"/>
      <c r="D73" s="41"/>
      <c r="E73" s="41"/>
      <c r="F73" s="41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1"/>
      <c r="X73" s="41"/>
      <c r="Y73" s="41"/>
      <c r="Z73" s="41"/>
    </row>
    <row r="74" ht="15.75" customHeight="1">
      <c r="A74" s="43"/>
      <c r="B74" s="41"/>
      <c r="C74" s="41"/>
      <c r="D74" s="41"/>
      <c r="E74" s="41"/>
      <c r="F74" s="41"/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1"/>
      <c r="X74" s="41"/>
      <c r="Y74" s="41"/>
      <c r="Z74" s="41"/>
    </row>
    <row r="75" ht="15.75" customHeight="1">
      <c r="A75" s="43"/>
      <c r="B75" s="41"/>
      <c r="C75" s="41"/>
      <c r="D75" s="41"/>
      <c r="E75" s="41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1"/>
      <c r="X75" s="41"/>
      <c r="Y75" s="41"/>
      <c r="Z75" s="41"/>
    </row>
    <row r="76" ht="15.75" customHeight="1">
      <c r="A76" s="43"/>
      <c r="B76" s="41"/>
      <c r="C76" s="41"/>
      <c r="D76" s="41"/>
      <c r="E76" s="41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1"/>
      <c r="X76" s="41"/>
      <c r="Y76" s="41"/>
      <c r="Z76" s="41"/>
    </row>
    <row r="77" ht="15.75" customHeight="1">
      <c r="A77" s="43"/>
      <c r="B77" s="41"/>
      <c r="C77" s="41"/>
      <c r="D77" s="41"/>
      <c r="E77" s="41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1"/>
      <c r="X77" s="41"/>
      <c r="Y77" s="41"/>
      <c r="Z77" s="41"/>
    </row>
    <row r="78" ht="15.75" customHeight="1">
      <c r="A78" s="43"/>
      <c r="B78" s="41"/>
      <c r="C78" s="41"/>
      <c r="D78" s="41"/>
      <c r="E78" s="41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1"/>
      <c r="X78" s="41"/>
      <c r="Y78" s="41"/>
      <c r="Z78" s="41"/>
    </row>
    <row r="79" ht="15.75" customHeight="1">
      <c r="A79" s="43"/>
      <c r="B79" s="41"/>
      <c r="C79" s="41"/>
      <c r="D79" s="41"/>
      <c r="E79" s="41"/>
      <c r="F79" s="4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1"/>
      <c r="X79" s="41"/>
      <c r="Y79" s="41"/>
      <c r="Z79" s="41"/>
    </row>
    <row r="80" ht="15.75" customHeight="1">
      <c r="A80" s="43"/>
      <c r="B80" s="41"/>
      <c r="C80" s="41"/>
      <c r="D80" s="41"/>
      <c r="E80" s="4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1"/>
      <c r="X80" s="41"/>
      <c r="Y80" s="41"/>
      <c r="Z80" s="41"/>
    </row>
    <row r="81" ht="15.75" customHeight="1">
      <c r="A81" s="43"/>
      <c r="B81" s="41"/>
      <c r="C81" s="41"/>
      <c r="D81" s="41"/>
      <c r="E81" s="41"/>
      <c r="F81" s="41"/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1"/>
      <c r="X81" s="41"/>
      <c r="Y81" s="41"/>
      <c r="Z81" s="41"/>
    </row>
    <row r="82" ht="15.75" customHeight="1">
      <c r="A82" s="43"/>
      <c r="B82" s="41"/>
      <c r="C82" s="41"/>
      <c r="D82" s="41"/>
      <c r="E82" s="4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1"/>
      <c r="X82" s="41"/>
      <c r="Y82" s="41"/>
      <c r="Z82" s="41"/>
    </row>
    <row r="83" ht="15.75" customHeight="1">
      <c r="A83" s="43"/>
      <c r="B83" s="41"/>
      <c r="C83" s="41"/>
      <c r="D83" s="41"/>
      <c r="E83" s="4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1"/>
      <c r="X83" s="41"/>
      <c r="Y83" s="41"/>
      <c r="Z83" s="41"/>
    </row>
    <row r="84" ht="15.75" customHeight="1">
      <c r="A84" s="43"/>
      <c r="B84" s="41"/>
      <c r="C84" s="41"/>
      <c r="D84" s="41"/>
      <c r="E84" s="4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1"/>
      <c r="X84" s="41"/>
      <c r="Y84" s="41"/>
      <c r="Z84" s="41"/>
    </row>
    <row r="85" ht="15.75" customHeight="1">
      <c r="A85" s="43"/>
      <c r="B85" s="41"/>
      <c r="C85" s="41"/>
      <c r="D85" s="41"/>
      <c r="E85" s="41"/>
      <c r="F85" s="41"/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1"/>
      <c r="X85" s="41"/>
      <c r="Y85" s="41"/>
      <c r="Z85" s="41"/>
    </row>
    <row r="86" ht="15.75" customHeight="1">
      <c r="A86" s="43"/>
      <c r="B86" s="41"/>
      <c r="C86" s="41"/>
      <c r="D86" s="41"/>
      <c r="E86" s="41"/>
      <c r="F86" s="41"/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1"/>
      <c r="X86" s="41"/>
      <c r="Y86" s="41"/>
      <c r="Z86" s="41"/>
    </row>
    <row r="87" ht="15.75" customHeight="1">
      <c r="A87" s="43"/>
      <c r="B87" s="41"/>
      <c r="C87" s="41"/>
      <c r="D87" s="41"/>
      <c r="E87" s="41"/>
      <c r="F87" s="4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1"/>
      <c r="X87" s="41"/>
      <c r="Y87" s="41"/>
      <c r="Z87" s="41"/>
    </row>
    <row r="88" ht="15.75" customHeight="1">
      <c r="A88" s="43"/>
      <c r="B88" s="41"/>
      <c r="C88" s="41"/>
      <c r="D88" s="41"/>
      <c r="E88" s="41"/>
      <c r="F88" s="41"/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1"/>
      <c r="X88" s="41"/>
      <c r="Y88" s="41"/>
      <c r="Z88" s="41"/>
    </row>
    <row r="89" ht="15.75" customHeight="1">
      <c r="A89" s="43"/>
      <c r="B89" s="41"/>
      <c r="C89" s="41"/>
      <c r="D89" s="41"/>
      <c r="E89" s="4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1"/>
      <c r="X89" s="41"/>
      <c r="Y89" s="41"/>
      <c r="Z89" s="41"/>
    </row>
    <row r="90" ht="15.75" customHeight="1">
      <c r="A90" s="43"/>
      <c r="B90" s="41"/>
      <c r="C90" s="41"/>
      <c r="D90" s="41"/>
      <c r="E90" s="41"/>
      <c r="F90" s="41"/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1"/>
      <c r="X90" s="41"/>
      <c r="Y90" s="41"/>
      <c r="Z90" s="41"/>
    </row>
    <row r="91" ht="15.75" customHeight="1">
      <c r="A91" s="43"/>
      <c r="B91" s="41"/>
      <c r="C91" s="41"/>
      <c r="D91" s="41"/>
      <c r="E91" s="41"/>
      <c r="F91" s="41"/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1"/>
      <c r="X91" s="41"/>
      <c r="Y91" s="41"/>
      <c r="Z91" s="41"/>
    </row>
    <row r="92" ht="15.75" customHeight="1">
      <c r="A92" s="43"/>
      <c r="B92" s="41"/>
      <c r="C92" s="41"/>
      <c r="D92" s="41"/>
      <c r="E92" s="41"/>
      <c r="F92" s="41"/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1"/>
      <c r="X92" s="41"/>
      <c r="Y92" s="41"/>
      <c r="Z92" s="41"/>
    </row>
    <row r="93" ht="15.75" customHeight="1">
      <c r="A93" s="43"/>
      <c r="B93" s="41"/>
      <c r="C93" s="41"/>
      <c r="D93" s="41"/>
      <c r="E93" s="41"/>
      <c r="F93" s="41"/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1"/>
      <c r="X93" s="41"/>
      <c r="Y93" s="41"/>
      <c r="Z93" s="41"/>
    </row>
    <row r="94" ht="15.75" customHeight="1">
      <c r="A94" s="43"/>
      <c r="B94" s="41"/>
      <c r="C94" s="41"/>
      <c r="D94" s="41"/>
      <c r="E94" s="41"/>
      <c r="F94" s="41"/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1"/>
      <c r="X94" s="41"/>
      <c r="Y94" s="41"/>
      <c r="Z94" s="41"/>
    </row>
    <row r="95" ht="15.75" customHeight="1">
      <c r="A95" s="43"/>
      <c r="B95" s="41"/>
      <c r="C95" s="41"/>
      <c r="D95" s="41"/>
      <c r="E95" s="41"/>
      <c r="F95" s="41"/>
      <c r="G95" s="41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1"/>
      <c r="X95" s="41"/>
      <c r="Y95" s="41"/>
      <c r="Z95" s="41"/>
    </row>
    <row r="96" ht="15.75" customHeight="1">
      <c r="A96" s="43"/>
      <c r="B96" s="41"/>
      <c r="C96" s="41"/>
      <c r="D96" s="41"/>
      <c r="E96" s="41"/>
      <c r="F96" s="41"/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1"/>
      <c r="X96" s="41"/>
      <c r="Y96" s="41"/>
      <c r="Z96" s="41"/>
    </row>
    <row r="97" ht="15.75" customHeight="1">
      <c r="A97" s="43"/>
      <c r="B97" s="41"/>
      <c r="C97" s="41"/>
      <c r="D97" s="41"/>
      <c r="E97" s="41"/>
      <c r="F97" s="41"/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1"/>
      <c r="X97" s="41"/>
      <c r="Y97" s="41"/>
      <c r="Z97" s="41"/>
    </row>
    <row r="98" ht="15.75" customHeight="1">
      <c r="A98" s="43"/>
      <c r="B98" s="41"/>
      <c r="C98" s="41"/>
      <c r="D98" s="41"/>
      <c r="E98" s="41"/>
      <c r="F98" s="41"/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1"/>
      <c r="X98" s="41"/>
      <c r="Y98" s="41"/>
      <c r="Z98" s="41"/>
    </row>
    <row r="99" ht="15.75" customHeight="1">
      <c r="A99" s="43"/>
      <c r="B99" s="41"/>
      <c r="C99" s="41"/>
      <c r="D99" s="41"/>
      <c r="E99" s="41"/>
      <c r="F99" s="41"/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1"/>
      <c r="X99" s="41"/>
      <c r="Y99" s="41"/>
      <c r="Z99" s="41"/>
    </row>
    <row r="100" ht="15.75" customHeight="1">
      <c r="A100" s="43"/>
      <c r="B100" s="41"/>
      <c r="C100" s="41"/>
      <c r="D100" s="41"/>
      <c r="E100" s="41"/>
      <c r="F100" s="41"/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1"/>
      <c r="X100" s="41"/>
      <c r="Y100" s="41"/>
      <c r="Z100" s="41"/>
    </row>
    <row r="101" ht="15.75" customHeight="1">
      <c r="A101" s="43"/>
      <c r="B101" s="41"/>
      <c r="C101" s="41"/>
      <c r="D101" s="41"/>
      <c r="E101" s="41"/>
      <c r="F101" s="41"/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1"/>
      <c r="X101" s="41"/>
      <c r="Y101" s="41"/>
      <c r="Z101" s="41"/>
    </row>
    <row r="102" ht="15.75" customHeight="1">
      <c r="A102" s="43"/>
      <c r="B102" s="41"/>
      <c r="C102" s="41"/>
      <c r="D102" s="41"/>
      <c r="E102" s="41"/>
      <c r="F102" s="41"/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1"/>
      <c r="X102" s="41"/>
      <c r="Y102" s="41"/>
      <c r="Z102" s="41"/>
    </row>
    <row r="103" ht="15.75" customHeight="1">
      <c r="A103" s="43"/>
      <c r="B103" s="41"/>
      <c r="C103" s="41"/>
      <c r="D103" s="41"/>
      <c r="E103" s="41"/>
      <c r="F103" s="41"/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1"/>
      <c r="X103" s="41"/>
      <c r="Y103" s="41"/>
      <c r="Z103" s="41"/>
    </row>
    <row r="104" ht="15.75" customHeight="1">
      <c r="A104" s="43"/>
      <c r="B104" s="41"/>
      <c r="C104" s="41"/>
      <c r="D104" s="41"/>
      <c r="E104" s="41"/>
      <c r="F104" s="41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1"/>
      <c r="X104" s="41"/>
      <c r="Y104" s="41"/>
      <c r="Z104" s="41"/>
    </row>
    <row r="105" ht="15.75" customHeight="1">
      <c r="A105" s="43"/>
      <c r="B105" s="41"/>
      <c r="C105" s="41"/>
      <c r="D105" s="41"/>
      <c r="E105" s="41"/>
      <c r="F105" s="41"/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1"/>
      <c r="X105" s="41"/>
      <c r="Y105" s="41"/>
      <c r="Z105" s="41"/>
    </row>
    <row r="106" ht="15.75" customHeight="1">
      <c r="A106" s="43"/>
      <c r="B106" s="41"/>
      <c r="C106" s="41"/>
      <c r="D106" s="41"/>
      <c r="E106" s="41"/>
      <c r="F106" s="41"/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1"/>
      <c r="X106" s="41"/>
      <c r="Y106" s="41"/>
      <c r="Z106" s="41"/>
    </row>
    <row r="107" ht="15.75" customHeight="1">
      <c r="A107" s="43"/>
      <c r="B107" s="41"/>
      <c r="C107" s="41"/>
      <c r="D107" s="41"/>
      <c r="E107" s="41"/>
      <c r="F107" s="41"/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1"/>
      <c r="X107" s="41"/>
      <c r="Y107" s="41"/>
      <c r="Z107" s="41"/>
    </row>
    <row r="108" ht="15.75" customHeight="1">
      <c r="A108" s="43"/>
      <c r="B108" s="41"/>
      <c r="C108" s="41"/>
      <c r="D108" s="41"/>
      <c r="E108" s="41"/>
      <c r="F108" s="41"/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1"/>
      <c r="X108" s="41"/>
      <c r="Y108" s="41"/>
      <c r="Z108" s="41"/>
    </row>
    <row r="109" ht="15.75" customHeight="1">
      <c r="A109" s="43"/>
      <c r="B109" s="41"/>
      <c r="C109" s="41"/>
      <c r="D109" s="41"/>
      <c r="E109" s="41"/>
      <c r="F109" s="41"/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1"/>
      <c r="X109" s="41"/>
      <c r="Y109" s="41"/>
      <c r="Z109" s="41"/>
    </row>
    <row r="110" ht="15.75" customHeight="1">
      <c r="A110" s="43"/>
      <c r="B110" s="41"/>
      <c r="C110" s="41"/>
      <c r="D110" s="41"/>
      <c r="E110" s="41"/>
      <c r="F110" s="41"/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1"/>
      <c r="X110" s="41"/>
      <c r="Y110" s="41"/>
      <c r="Z110" s="41"/>
    </row>
    <row r="111" ht="15.75" customHeight="1">
      <c r="A111" s="43"/>
      <c r="B111" s="41"/>
      <c r="C111" s="41"/>
      <c r="D111" s="41"/>
      <c r="E111" s="41"/>
      <c r="F111" s="41"/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1"/>
      <c r="X111" s="41"/>
      <c r="Y111" s="41"/>
      <c r="Z111" s="41"/>
    </row>
    <row r="112" ht="15.75" customHeight="1">
      <c r="A112" s="43"/>
      <c r="B112" s="41"/>
      <c r="C112" s="41"/>
      <c r="D112" s="41"/>
      <c r="E112" s="41"/>
      <c r="F112" s="41"/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1"/>
      <c r="X112" s="41"/>
      <c r="Y112" s="41"/>
      <c r="Z112" s="41"/>
    </row>
    <row r="113" ht="15.75" customHeight="1">
      <c r="A113" s="43"/>
      <c r="B113" s="41"/>
      <c r="C113" s="41"/>
      <c r="D113" s="41"/>
      <c r="E113" s="41"/>
      <c r="F113" s="41"/>
      <c r="G113" s="41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1"/>
      <c r="X113" s="41"/>
      <c r="Y113" s="41"/>
      <c r="Z113" s="41"/>
    </row>
    <row r="114" ht="15.75" customHeight="1">
      <c r="A114" s="43"/>
      <c r="B114" s="41"/>
      <c r="C114" s="41"/>
      <c r="D114" s="41"/>
      <c r="E114" s="41"/>
      <c r="F114" s="41"/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1"/>
      <c r="X114" s="41"/>
      <c r="Y114" s="41"/>
      <c r="Z114" s="41"/>
    </row>
    <row r="115" ht="15.75" customHeight="1">
      <c r="A115" s="43"/>
      <c r="B115" s="41"/>
      <c r="C115" s="41"/>
      <c r="D115" s="41"/>
      <c r="E115" s="41"/>
      <c r="F115" s="41"/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1"/>
      <c r="X115" s="41"/>
      <c r="Y115" s="41"/>
      <c r="Z115" s="41"/>
    </row>
    <row r="116" ht="15.75" customHeight="1">
      <c r="A116" s="43"/>
      <c r="B116" s="41"/>
      <c r="C116" s="41"/>
      <c r="D116" s="41"/>
      <c r="E116" s="41"/>
      <c r="F116" s="41"/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1"/>
      <c r="X116" s="41"/>
      <c r="Y116" s="41"/>
      <c r="Z116" s="41"/>
    </row>
    <row r="117" ht="15.75" customHeight="1">
      <c r="A117" s="43"/>
      <c r="B117" s="41"/>
      <c r="C117" s="41"/>
      <c r="D117" s="41"/>
      <c r="E117" s="41"/>
      <c r="F117" s="41"/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1"/>
      <c r="X117" s="41"/>
      <c r="Y117" s="41"/>
      <c r="Z117" s="41"/>
    </row>
    <row r="118" ht="15.75" customHeight="1">
      <c r="A118" s="43"/>
      <c r="B118" s="41"/>
      <c r="C118" s="41"/>
      <c r="D118" s="41"/>
      <c r="E118" s="41"/>
      <c r="F118" s="41"/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1"/>
      <c r="X118" s="41"/>
      <c r="Y118" s="41"/>
      <c r="Z118" s="41"/>
    </row>
    <row r="119" ht="15.75" customHeight="1">
      <c r="A119" s="43"/>
      <c r="B119" s="41"/>
      <c r="C119" s="41"/>
      <c r="D119" s="41"/>
      <c r="E119" s="41"/>
      <c r="F119" s="41"/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1"/>
      <c r="X119" s="41"/>
      <c r="Y119" s="41"/>
      <c r="Z119" s="41"/>
    </row>
    <row r="120" ht="15.75" customHeight="1">
      <c r="A120" s="43"/>
      <c r="B120" s="41"/>
      <c r="C120" s="41"/>
      <c r="D120" s="41"/>
      <c r="E120" s="41"/>
      <c r="F120" s="41"/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1"/>
      <c r="X120" s="41"/>
      <c r="Y120" s="41"/>
      <c r="Z120" s="41"/>
    </row>
    <row r="121" ht="15.75" customHeight="1">
      <c r="A121" s="43"/>
      <c r="B121" s="41"/>
      <c r="C121" s="41"/>
      <c r="D121" s="41"/>
      <c r="E121" s="41"/>
      <c r="F121" s="41"/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1"/>
      <c r="X121" s="41"/>
      <c r="Y121" s="41"/>
      <c r="Z121" s="41"/>
    </row>
    <row r="122" ht="15.75" customHeight="1">
      <c r="A122" s="43"/>
      <c r="B122" s="41"/>
      <c r="C122" s="41"/>
      <c r="D122" s="41"/>
      <c r="E122" s="41"/>
      <c r="F122" s="41"/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1"/>
      <c r="X122" s="41"/>
      <c r="Y122" s="41"/>
      <c r="Z122" s="41"/>
    </row>
    <row r="123" ht="15.75" customHeight="1">
      <c r="A123" s="43"/>
      <c r="B123" s="41"/>
      <c r="C123" s="41"/>
      <c r="D123" s="41"/>
      <c r="E123" s="41"/>
      <c r="F123" s="41"/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1"/>
      <c r="X123" s="41"/>
      <c r="Y123" s="41"/>
      <c r="Z123" s="41"/>
    </row>
    <row r="124" ht="15.75" customHeight="1">
      <c r="A124" s="43"/>
      <c r="B124" s="41"/>
      <c r="C124" s="41"/>
      <c r="D124" s="41"/>
      <c r="E124" s="41"/>
      <c r="F124" s="41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1"/>
      <c r="X124" s="41"/>
      <c r="Y124" s="41"/>
      <c r="Z124" s="41"/>
    </row>
    <row r="125" ht="15.75" customHeight="1">
      <c r="A125" s="43"/>
      <c r="B125" s="41"/>
      <c r="C125" s="41"/>
      <c r="D125" s="41"/>
      <c r="E125" s="41"/>
      <c r="F125" s="41"/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1"/>
      <c r="X125" s="41"/>
      <c r="Y125" s="41"/>
      <c r="Z125" s="41"/>
    </row>
    <row r="126" ht="15.75" customHeight="1">
      <c r="A126" s="43"/>
      <c r="B126" s="41"/>
      <c r="C126" s="41"/>
      <c r="D126" s="41"/>
      <c r="E126" s="41"/>
      <c r="F126" s="41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1"/>
      <c r="X126" s="41"/>
      <c r="Y126" s="41"/>
      <c r="Z126" s="41"/>
    </row>
    <row r="127" ht="15.75" customHeight="1">
      <c r="A127" s="43"/>
      <c r="B127" s="41"/>
      <c r="C127" s="41"/>
      <c r="D127" s="41"/>
      <c r="E127" s="41"/>
      <c r="F127" s="41"/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1"/>
      <c r="X127" s="41"/>
      <c r="Y127" s="41"/>
      <c r="Z127" s="41"/>
    </row>
    <row r="128" ht="15.75" customHeight="1">
      <c r="A128" s="43"/>
      <c r="B128" s="41"/>
      <c r="C128" s="41"/>
      <c r="D128" s="41"/>
      <c r="E128" s="41"/>
      <c r="F128" s="41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1"/>
      <c r="X128" s="41"/>
      <c r="Y128" s="41"/>
      <c r="Z128" s="41"/>
    </row>
    <row r="129" ht="15.75" customHeight="1">
      <c r="A129" s="43"/>
      <c r="B129" s="41"/>
      <c r="C129" s="41"/>
      <c r="D129" s="41"/>
      <c r="E129" s="41"/>
      <c r="F129" s="4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1"/>
      <c r="X129" s="41"/>
      <c r="Y129" s="41"/>
      <c r="Z129" s="41"/>
    </row>
    <row r="130" ht="15.75" customHeight="1">
      <c r="A130" s="43"/>
      <c r="B130" s="41"/>
      <c r="C130" s="41"/>
      <c r="D130" s="41"/>
      <c r="E130" s="41"/>
      <c r="F130" s="41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1"/>
      <c r="X130" s="41"/>
      <c r="Y130" s="41"/>
      <c r="Z130" s="41"/>
    </row>
    <row r="131" ht="15.75" customHeight="1">
      <c r="A131" s="43"/>
      <c r="B131" s="41"/>
      <c r="C131" s="41"/>
      <c r="D131" s="41"/>
      <c r="E131" s="41"/>
      <c r="F131" s="41"/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1"/>
      <c r="X131" s="41"/>
      <c r="Y131" s="41"/>
      <c r="Z131" s="41"/>
    </row>
    <row r="132" ht="15.75" customHeight="1">
      <c r="A132" s="43"/>
      <c r="B132" s="41"/>
      <c r="C132" s="41"/>
      <c r="D132" s="41"/>
      <c r="E132" s="41"/>
      <c r="F132" s="41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1"/>
      <c r="X132" s="41"/>
      <c r="Y132" s="41"/>
      <c r="Z132" s="41"/>
    </row>
    <row r="133" ht="15.75" customHeight="1">
      <c r="A133" s="43"/>
      <c r="B133" s="41"/>
      <c r="C133" s="41"/>
      <c r="D133" s="41"/>
      <c r="E133" s="41"/>
      <c r="F133" s="4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1"/>
      <c r="X133" s="41"/>
      <c r="Y133" s="41"/>
      <c r="Z133" s="41"/>
    </row>
    <row r="134" ht="15.75" customHeight="1">
      <c r="A134" s="43"/>
      <c r="B134" s="41"/>
      <c r="C134" s="41"/>
      <c r="D134" s="41"/>
      <c r="E134" s="41"/>
      <c r="F134" s="41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1"/>
      <c r="X134" s="41"/>
      <c r="Y134" s="41"/>
      <c r="Z134" s="41"/>
    </row>
    <row r="135" ht="15.75" customHeight="1">
      <c r="A135" s="43"/>
      <c r="B135" s="41"/>
      <c r="C135" s="41"/>
      <c r="D135" s="41"/>
      <c r="E135" s="41"/>
      <c r="F135" s="41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1"/>
      <c r="X135" s="41"/>
      <c r="Y135" s="41"/>
      <c r="Z135" s="41"/>
    </row>
    <row r="136" ht="15.75" customHeight="1">
      <c r="A136" s="43"/>
      <c r="B136" s="41"/>
      <c r="C136" s="41"/>
      <c r="D136" s="41"/>
      <c r="E136" s="41"/>
      <c r="F136" s="41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1"/>
      <c r="X136" s="41"/>
      <c r="Y136" s="41"/>
      <c r="Z136" s="41"/>
    </row>
    <row r="137" ht="15.75" customHeight="1">
      <c r="A137" s="43"/>
      <c r="B137" s="41"/>
      <c r="C137" s="41"/>
      <c r="D137" s="41"/>
      <c r="E137" s="41"/>
      <c r="F137" s="41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1"/>
      <c r="X137" s="41"/>
      <c r="Y137" s="41"/>
      <c r="Z137" s="41"/>
    </row>
    <row r="138" ht="15.75" customHeight="1">
      <c r="A138" s="43"/>
      <c r="B138" s="41"/>
      <c r="C138" s="41"/>
      <c r="D138" s="41"/>
      <c r="E138" s="41"/>
      <c r="F138" s="41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1"/>
      <c r="X138" s="41"/>
      <c r="Y138" s="41"/>
      <c r="Z138" s="41"/>
    </row>
    <row r="139" ht="15.75" customHeight="1">
      <c r="A139" s="43"/>
      <c r="B139" s="41"/>
      <c r="C139" s="41"/>
      <c r="D139" s="41"/>
      <c r="E139" s="41"/>
      <c r="F139" s="41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1"/>
      <c r="X139" s="41"/>
      <c r="Y139" s="41"/>
      <c r="Z139" s="41"/>
    </row>
    <row r="140" ht="15.75" customHeight="1">
      <c r="A140" s="43"/>
      <c r="B140" s="41"/>
      <c r="C140" s="41"/>
      <c r="D140" s="41"/>
      <c r="E140" s="41"/>
      <c r="F140" s="41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1"/>
      <c r="X140" s="41"/>
      <c r="Y140" s="41"/>
      <c r="Z140" s="41"/>
    </row>
    <row r="141" ht="15.75" customHeight="1">
      <c r="A141" s="43"/>
      <c r="B141" s="41"/>
      <c r="C141" s="41"/>
      <c r="D141" s="41"/>
      <c r="E141" s="41"/>
      <c r="F141" s="41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1"/>
      <c r="X141" s="41"/>
      <c r="Y141" s="41"/>
      <c r="Z141" s="41"/>
    </row>
    <row r="142" ht="15.75" customHeight="1">
      <c r="A142" s="43"/>
      <c r="B142" s="41"/>
      <c r="C142" s="41"/>
      <c r="D142" s="41"/>
      <c r="E142" s="4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1"/>
      <c r="X142" s="41"/>
      <c r="Y142" s="41"/>
      <c r="Z142" s="41"/>
    </row>
    <row r="143" ht="15.75" customHeight="1">
      <c r="A143" s="43"/>
      <c r="B143" s="41"/>
      <c r="C143" s="41"/>
      <c r="D143" s="41"/>
      <c r="E143" s="41"/>
      <c r="F143" s="41"/>
      <c r="G143" s="41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1"/>
      <c r="X143" s="41"/>
      <c r="Y143" s="41"/>
      <c r="Z143" s="41"/>
    </row>
    <row r="144" ht="15.75" customHeight="1">
      <c r="A144" s="43"/>
      <c r="B144" s="41"/>
      <c r="C144" s="41"/>
      <c r="D144" s="41"/>
      <c r="E144" s="41"/>
      <c r="F144" s="4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1"/>
      <c r="X144" s="41"/>
      <c r="Y144" s="41"/>
      <c r="Z144" s="41"/>
    </row>
    <row r="145" ht="15.75" customHeight="1">
      <c r="A145" s="43"/>
      <c r="B145" s="41"/>
      <c r="C145" s="41"/>
      <c r="D145" s="41"/>
      <c r="E145" s="41"/>
      <c r="F145" s="41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1"/>
      <c r="X145" s="41"/>
      <c r="Y145" s="41"/>
      <c r="Z145" s="41"/>
    </row>
    <row r="146" ht="15.75" customHeight="1">
      <c r="A146" s="43"/>
      <c r="B146" s="41"/>
      <c r="C146" s="41"/>
      <c r="D146" s="41"/>
      <c r="E146" s="41"/>
      <c r="F146" s="41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1"/>
      <c r="X146" s="41"/>
      <c r="Y146" s="41"/>
      <c r="Z146" s="41"/>
    </row>
    <row r="147" ht="15.75" customHeight="1">
      <c r="A147" s="43"/>
      <c r="B147" s="41"/>
      <c r="C147" s="41"/>
      <c r="D147" s="41"/>
      <c r="E147" s="41"/>
      <c r="F147" s="41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1"/>
      <c r="X147" s="41"/>
      <c r="Y147" s="41"/>
      <c r="Z147" s="41"/>
    </row>
    <row r="148" ht="15.75" customHeight="1">
      <c r="A148" s="43"/>
      <c r="B148" s="41"/>
      <c r="C148" s="41"/>
      <c r="D148" s="41"/>
      <c r="E148" s="41"/>
      <c r="F148" s="41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1"/>
      <c r="X148" s="41"/>
      <c r="Y148" s="41"/>
      <c r="Z148" s="41"/>
    </row>
    <row r="149" ht="15.75" customHeight="1">
      <c r="A149" s="43"/>
      <c r="B149" s="41"/>
      <c r="C149" s="41"/>
      <c r="D149" s="41"/>
      <c r="E149" s="41"/>
      <c r="F149" s="41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1"/>
      <c r="X149" s="41"/>
      <c r="Y149" s="41"/>
      <c r="Z149" s="41"/>
    </row>
    <row r="150" ht="15.75" customHeight="1">
      <c r="A150" s="43"/>
      <c r="B150" s="41"/>
      <c r="C150" s="41"/>
      <c r="D150" s="41"/>
      <c r="E150" s="41"/>
      <c r="F150" s="41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1"/>
      <c r="X150" s="41"/>
      <c r="Y150" s="41"/>
      <c r="Z150" s="41"/>
    </row>
    <row r="151" ht="15.75" customHeight="1">
      <c r="A151" s="43"/>
      <c r="B151" s="41"/>
      <c r="C151" s="41"/>
      <c r="D151" s="41"/>
      <c r="E151" s="41"/>
      <c r="F151" s="41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1"/>
      <c r="X151" s="41"/>
      <c r="Y151" s="41"/>
      <c r="Z151" s="41"/>
    </row>
    <row r="152" ht="15.75" customHeight="1">
      <c r="A152" s="43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1"/>
      <c r="X152" s="41"/>
      <c r="Y152" s="41"/>
      <c r="Z152" s="41"/>
    </row>
    <row r="153" ht="15.75" customHeight="1">
      <c r="A153" s="43"/>
      <c r="B153" s="41"/>
      <c r="C153" s="41"/>
      <c r="D153" s="41"/>
      <c r="E153" s="41"/>
      <c r="F153" s="41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1"/>
      <c r="X153" s="41"/>
      <c r="Y153" s="41"/>
      <c r="Z153" s="41"/>
    </row>
    <row r="154" ht="15.75" customHeight="1">
      <c r="A154" s="43"/>
      <c r="B154" s="41"/>
      <c r="C154" s="41"/>
      <c r="D154" s="41"/>
      <c r="E154" s="41"/>
      <c r="F154" s="41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1"/>
      <c r="X154" s="41"/>
      <c r="Y154" s="41"/>
      <c r="Z154" s="41"/>
    </row>
    <row r="155" ht="15.75" customHeight="1">
      <c r="A155" s="43"/>
      <c r="B155" s="41"/>
      <c r="C155" s="41"/>
      <c r="D155" s="41"/>
      <c r="E155" s="41"/>
      <c r="F155" s="41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1"/>
      <c r="X155" s="41"/>
      <c r="Y155" s="41"/>
      <c r="Z155" s="41"/>
    </row>
    <row r="156" ht="15.75" customHeight="1">
      <c r="A156" s="43"/>
      <c r="B156" s="41"/>
      <c r="C156" s="41"/>
      <c r="D156" s="41"/>
      <c r="E156" s="41"/>
      <c r="F156" s="41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1"/>
      <c r="X156" s="41"/>
      <c r="Y156" s="41"/>
      <c r="Z156" s="41"/>
    </row>
    <row r="157" ht="15.75" customHeight="1">
      <c r="A157" s="43"/>
      <c r="B157" s="41"/>
      <c r="C157" s="41"/>
      <c r="D157" s="41"/>
      <c r="E157" s="41"/>
      <c r="F157" s="41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1"/>
      <c r="X157" s="41"/>
      <c r="Y157" s="41"/>
      <c r="Z157" s="41"/>
    </row>
    <row r="158" ht="15.75" customHeight="1">
      <c r="A158" s="43"/>
      <c r="B158" s="41"/>
      <c r="C158" s="41"/>
      <c r="D158" s="41"/>
      <c r="E158" s="41"/>
      <c r="F158" s="41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1"/>
      <c r="X158" s="41"/>
      <c r="Y158" s="41"/>
      <c r="Z158" s="41"/>
    </row>
    <row r="159" ht="15.75" customHeight="1">
      <c r="A159" s="43"/>
      <c r="B159" s="41"/>
      <c r="C159" s="41"/>
      <c r="D159" s="41"/>
      <c r="E159" s="41"/>
      <c r="F159" s="41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1"/>
      <c r="X159" s="41"/>
      <c r="Y159" s="41"/>
      <c r="Z159" s="41"/>
    </row>
    <row r="160" ht="15.75" customHeight="1">
      <c r="A160" s="43"/>
      <c r="B160" s="41"/>
      <c r="C160" s="41"/>
      <c r="D160" s="41"/>
      <c r="E160" s="41"/>
      <c r="F160" s="41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1"/>
      <c r="X160" s="41"/>
      <c r="Y160" s="41"/>
      <c r="Z160" s="41"/>
    </row>
    <row r="161" ht="15.75" customHeight="1">
      <c r="A161" s="43"/>
      <c r="B161" s="41"/>
      <c r="C161" s="41"/>
      <c r="D161" s="41"/>
      <c r="E161" s="41"/>
      <c r="F161" s="41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1"/>
      <c r="X161" s="41"/>
      <c r="Y161" s="41"/>
      <c r="Z161" s="41"/>
    </row>
    <row r="162" ht="15.75" customHeight="1">
      <c r="A162" s="43"/>
      <c r="B162" s="41"/>
      <c r="C162" s="41"/>
      <c r="D162" s="41"/>
      <c r="E162" s="41"/>
      <c r="F162" s="41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1"/>
      <c r="X162" s="41"/>
      <c r="Y162" s="41"/>
      <c r="Z162" s="41"/>
    </row>
    <row r="163" ht="15.75" customHeight="1">
      <c r="A163" s="43"/>
      <c r="B163" s="41"/>
      <c r="C163" s="41"/>
      <c r="D163" s="41"/>
      <c r="E163" s="41"/>
      <c r="F163" s="41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1"/>
      <c r="X163" s="41"/>
      <c r="Y163" s="41"/>
      <c r="Z163" s="41"/>
    </row>
    <row r="164" ht="15.75" customHeight="1">
      <c r="A164" s="43"/>
      <c r="B164" s="41"/>
      <c r="C164" s="41"/>
      <c r="D164" s="41"/>
      <c r="E164" s="41"/>
      <c r="F164" s="41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1"/>
      <c r="X164" s="41"/>
      <c r="Y164" s="41"/>
      <c r="Z164" s="41"/>
    </row>
    <row r="165" ht="15.75" customHeight="1">
      <c r="A165" s="43"/>
      <c r="B165" s="41"/>
      <c r="C165" s="41"/>
      <c r="D165" s="41"/>
      <c r="E165" s="41"/>
      <c r="F165" s="41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1"/>
      <c r="X165" s="41"/>
      <c r="Y165" s="41"/>
      <c r="Z165" s="41"/>
    </row>
    <row r="166" ht="15.75" customHeight="1">
      <c r="A166" s="43"/>
      <c r="B166" s="41"/>
      <c r="C166" s="41"/>
      <c r="D166" s="41"/>
      <c r="E166" s="41"/>
      <c r="F166" s="41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1"/>
      <c r="X166" s="41"/>
      <c r="Y166" s="41"/>
      <c r="Z166" s="41"/>
    </row>
    <row r="167" ht="15.75" customHeight="1">
      <c r="A167" s="43"/>
      <c r="B167" s="41"/>
      <c r="C167" s="41"/>
      <c r="D167" s="41"/>
      <c r="E167" s="41"/>
      <c r="F167" s="41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1"/>
      <c r="X167" s="41"/>
      <c r="Y167" s="41"/>
      <c r="Z167" s="41"/>
    </row>
    <row r="168" ht="15.75" customHeight="1">
      <c r="A168" s="43"/>
      <c r="B168" s="41"/>
      <c r="C168" s="41"/>
      <c r="D168" s="41"/>
      <c r="E168" s="41"/>
      <c r="F168" s="41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1"/>
      <c r="X168" s="41"/>
      <c r="Y168" s="41"/>
      <c r="Z168" s="41"/>
    </row>
    <row r="169" ht="15.75" customHeight="1">
      <c r="A169" s="43"/>
      <c r="B169" s="41"/>
      <c r="C169" s="41"/>
      <c r="D169" s="41"/>
      <c r="E169" s="41"/>
      <c r="F169" s="41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1"/>
      <c r="X169" s="41"/>
      <c r="Y169" s="41"/>
      <c r="Z169" s="41"/>
    </row>
    <row r="170" ht="15.75" customHeight="1">
      <c r="A170" s="43"/>
      <c r="B170" s="41"/>
      <c r="C170" s="41"/>
      <c r="D170" s="41"/>
      <c r="E170" s="41"/>
      <c r="F170" s="41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1"/>
      <c r="X170" s="41"/>
      <c r="Y170" s="41"/>
      <c r="Z170" s="41"/>
    </row>
    <row r="171" ht="15.75" customHeight="1">
      <c r="A171" s="43"/>
      <c r="B171" s="41"/>
      <c r="C171" s="41"/>
      <c r="D171" s="41"/>
      <c r="E171" s="41"/>
      <c r="F171" s="41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1"/>
      <c r="X171" s="41"/>
      <c r="Y171" s="41"/>
      <c r="Z171" s="41"/>
    </row>
    <row r="172" ht="15.75" customHeight="1">
      <c r="A172" s="43"/>
      <c r="B172" s="41"/>
      <c r="C172" s="41"/>
      <c r="D172" s="41"/>
      <c r="E172" s="41"/>
      <c r="F172" s="41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1"/>
      <c r="X172" s="41"/>
      <c r="Y172" s="41"/>
      <c r="Z172" s="41"/>
    </row>
    <row r="173" ht="15.75" customHeight="1">
      <c r="A173" s="43"/>
      <c r="B173" s="41"/>
      <c r="C173" s="41"/>
      <c r="D173" s="41"/>
      <c r="E173" s="41"/>
      <c r="F173" s="41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1"/>
      <c r="X173" s="41"/>
      <c r="Y173" s="41"/>
      <c r="Z173" s="41"/>
    </row>
    <row r="174" ht="15.75" customHeight="1">
      <c r="A174" s="43"/>
      <c r="B174" s="41"/>
      <c r="C174" s="41"/>
      <c r="D174" s="41"/>
      <c r="E174" s="41"/>
      <c r="F174" s="41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1"/>
      <c r="X174" s="41"/>
      <c r="Y174" s="41"/>
      <c r="Z174" s="41"/>
    </row>
    <row r="175" ht="15.75" customHeight="1">
      <c r="A175" s="43"/>
      <c r="B175" s="41"/>
      <c r="C175" s="41"/>
      <c r="D175" s="41"/>
      <c r="E175" s="41"/>
      <c r="F175" s="41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1"/>
      <c r="X175" s="41"/>
      <c r="Y175" s="41"/>
      <c r="Z175" s="41"/>
    </row>
    <row r="176" ht="15.75" customHeight="1">
      <c r="A176" s="43"/>
      <c r="B176" s="41"/>
      <c r="C176" s="41"/>
      <c r="D176" s="41"/>
      <c r="E176" s="41"/>
      <c r="F176" s="41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1"/>
      <c r="X176" s="41"/>
      <c r="Y176" s="41"/>
      <c r="Z176" s="41"/>
    </row>
    <row r="177" ht="15.75" customHeight="1">
      <c r="A177" s="43"/>
      <c r="B177" s="41"/>
      <c r="C177" s="41"/>
      <c r="D177" s="41"/>
      <c r="E177" s="41"/>
      <c r="F177" s="41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1"/>
      <c r="X177" s="41"/>
      <c r="Y177" s="41"/>
      <c r="Z177" s="41"/>
    </row>
    <row r="178" ht="15.75" customHeight="1">
      <c r="A178" s="43"/>
      <c r="B178" s="41"/>
      <c r="C178" s="41"/>
      <c r="D178" s="41"/>
      <c r="E178" s="41"/>
      <c r="F178" s="41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1"/>
      <c r="X178" s="41"/>
      <c r="Y178" s="41"/>
      <c r="Z178" s="41"/>
    </row>
    <row r="179" ht="15.75" customHeight="1">
      <c r="A179" s="43"/>
      <c r="B179" s="41"/>
      <c r="C179" s="41"/>
      <c r="D179" s="41"/>
      <c r="E179" s="41"/>
      <c r="F179" s="41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1"/>
      <c r="X179" s="41"/>
      <c r="Y179" s="41"/>
      <c r="Z179" s="41"/>
    </row>
    <row r="180" ht="15.75" customHeight="1">
      <c r="A180" s="43"/>
      <c r="B180" s="41"/>
      <c r="C180" s="41"/>
      <c r="D180" s="41"/>
      <c r="E180" s="41"/>
      <c r="F180" s="41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1"/>
      <c r="X180" s="41"/>
      <c r="Y180" s="41"/>
      <c r="Z180" s="41"/>
    </row>
    <row r="181" ht="15.75" customHeight="1">
      <c r="A181" s="43"/>
      <c r="B181" s="41"/>
      <c r="C181" s="41"/>
      <c r="D181" s="41"/>
      <c r="E181" s="41"/>
      <c r="F181" s="41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1"/>
      <c r="X181" s="41"/>
      <c r="Y181" s="41"/>
      <c r="Z181" s="41"/>
    </row>
    <row r="182" ht="15.75" customHeight="1">
      <c r="A182" s="43"/>
      <c r="B182" s="41"/>
      <c r="C182" s="41"/>
      <c r="D182" s="41"/>
      <c r="E182" s="41"/>
      <c r="F182" s="41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1"/>
      <c r="X182" s="41"/>
      <c r="Y182" s="41"/>
      <c r="Z182" s="41"/>
    </row>
    <row r="183" ht="15.75" customHeight="1">
      <c r="A183" s="43"/>
      <c r="B183" s="41"/>
      <c r="C183" s="41"/>
      <c r="D183" s="41"/>
      <c r="E183" s="41"/>
      <c r="F183" s="41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1"/>
      <c r="X183" s="41"/>
      <c r="Y183" s="41"/>
      <c r="Z183" s="41"/>
    </row>
    <row r="184" ht="15.75" customHeight="1">
      <c r="A184" s="43"/>
      <c r="B184" s="41"/>
      <c r="C184" s="41"/>
      <c r="D184" s="41"/>
      <c r="E184" s="41"/>
      <c r="F184" s="41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1"/>
      <c r="X184" s="41"/>
      <c r="Y184" s="41"/>
      <c r="Z184" s="41"/>
    </row>
    <row r="185" ht="15.75" customHeight="1">
      <c r="A185" s="43"/>
      <c r="B185" s="41"/>
      <c r="C185" s="41"/>
      <c r="D185" s="41"/>
      <c r="E185" s="41"/>
      <c r="F185" s="41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1"/>
      <c r="X185" s="41"/>
      <c r="Y185" s="41"/>
      <c r="Z185" s="41"/>
    </row>
    <row r="186" ht="15.75" customHeight="1">
      <c r="A186" s="43"/>
      <c r="B186" s="41"/>
      <c r="C186" s="41"/>
      <c r="D186" s="41"/>
      <c r="E186" s="41"/>
      <c r="F186" s="41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1"/>
      <c r="X186" s="41"/>
      <c r="Y186" s="41"/>
      <c r="Z186" s="41"/>
    </row>
    <row r="187" ht="15.75" customHeight="1">
      <c r="A187" s="43"/>
      <c r="B187" s="41"/>
      <c r="C187" s="41"/>
      <c r="D187" s="41"/>
      <c r="E187" s="41"/>
      <c r="F187" s="41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1"/>
      <c r="X187" s="41"/>
      <c r="Y187" s="41"/>
      <c r="Z187" s="41"/>
    </row>
    <row r="188" ht="15.75" customHeight="1">
      <c r="A188" s="43"/>
      <c r="B188" s="41"/>
      <c r="C188" s="41"/>
      <c r="D188" s="41"/>
      <c r="E188" s="41"/>
      <c r="F188" s="41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1"/>
      <c r="X188" s="41"/>
      <c r="Y188" s="41"/>
      <c r="Z188" s="41"/>
    </row>
    <row r="189" ht="15.75" customHeight="1">
      <c r="A189" s="43"/>
      <c r="B189" s="41"/>
      <c r="C189" s="41"/>
      <c r="D189" s="41"/>
      <c r="E189" s="41"/>
      <c r="F189" s="41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1"/>
      <c r="X189" s="41"/>
      <c r="Y189" s="41"/>
      <c r="Z189" s="41"/>
    </row>
    <row r="190" ht="15.75" customHeight="1">
      <c r="A190" s="43"/>
      <c r="B190" s="41"/>
      <c r="C190" s="41"/>
      <c r="D190" s="41"/>
      <c r="E190" s="41"/>
      <c r="F190" s="41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1"/>
      <c r="X190" s="41"/>
      <c r="Y190" s="41"/>
      <c r="Z190" s="41"/>
    </row>
    <row r="191" ht="15.75" customHeight="1">
      <c r="A191" s="43"/>
      <c r="B191" s="41"/>
      <c r="C191" s="41"/>
      <c r="D191" s="41"/>
      <c r="E191" s="41"/>
      <c r="F191" s="41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1"/>
      <c r="X191" s="41"/>
      <c r="Y191" s="41"/>
      <c r="Z191" s="41"/>
    </row>
    <row r="192" ht="15.75" customHeight="1">
      <c r="A192" s="43"/>
      <c r="B192" s="41"/>
      <c r="C192" s="41"/>
      <c r="D192" s="41"/>
      <c r="E192" s="41"/>
      <c r="F192" s="41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1"/>
      <c r="X192" s="41"/>
      <c r="Y192" s="41"/>
      <c r="Z192" s="41"/>
    </row>
    <row r="193" ht="15.75" customHeight="1">
      <c r="A193" s="43"/>
      <c r="B193" s="41"/>
      <c r="C193" s="41"/>
      <c r="D193" s="41"/>
      <c r="E193" s="41"/>
      <c r="F193" s="41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1"/>
      <c r="X193" s="41"/>
      <c r="Y193" s="41"/>
      <c r="Z193" s="41"/>
    </row>
    <row r="194" ht="15.75" customHeight="1">
      <c r="A194" s="43"/>
      <c r="B194" s="41"/>
      <c r="C194" s="41"/>
      <c r="D194" s="41"/>
      <c r="E194" s="41"/>
      <c r="F194" s="41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1"/>
      <c r="X194" s="41"/>
      <c r="Y194" s="41"/>
      <c r="Z194" s="41"/>
    </row>
    <row r="195" ht="15.75" customHeight="1">
      <c r="A195" s="43"/>
      <c r="B195" s="41"/>
      <c r="C195" s="41"/>
      <c r="D195" s="41"/>
      <c r="E195" s="41"/>
      <c r="F195" s="41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1"/>
      <c r="X195" s="41"/>
      <c r="Y195" s="41"/>
      <c r="Z195" s="41"/>
    </row>
    <row r="196" ht="15.75" customHeight="1">
      <c r="A196" s="43"/>
      <c r="B196" s="41"/>
      <c r="C196" s="41"/>
      <c r="D196" s="41"/>
      <c r="E196" s="41"/>
      <c r="F196" s="41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1"/>
      <c r="X196" s="41"/>
      <c r="Y196" s="41"/>
      <c r="Z196" s="41"/>
    </row>
    <row r="197" ht="15.75" customHeight="1">
      <c r="A197" s="43"/>
      <c r="B197" s="41"/>
      <c r="C197" s="41"/>
      <c r="D197" s="41"/>
      <c r="E197" s="41"/>
      <c r="F197" s="41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1"/>
      <c r="X197" s="41"/>
      <c r="Y197" s="41"/>
      <c r="Z197" s="41"/>
    </row>
    <row r="198" ht="15.75" customHeight="1">
      <c r="A198" s="43"/>
      <c r="B198" s="41"/>
      <c r="C198" s="41"/>
      <c r="D198" s="41"/>
      <c r="E198" s="41"/>
      <c r="F198" s="41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1"/>
      <c r="X198" s="41"/>
      <c r="Y198" s="41"/>
      <c r="Z198" s="41"/>
    </row>
    <row r="199" ht="15.75" customHeight="1">
      <c r="A199" s="43"/>
      <c r="B199" s="41"/>
      <c r="C199" s="41"/>
      <c r="D199" s="41"/>
      <c r="E199" s="41"/>
      <c r="F199" s="41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1"/>
      <c r="X199" s="41"/>
      <c r="Y199" s="41"/>
      <c r="Z199" s="41"/>
    </row>
    <row r="200" ht="15.75" customHeight="1">
      <c r="A200" s="43"/>
      <c r="B200" s="41"/>
      <c r="C200" s="41"/>
      <c r="D200" s="41"/>
      <c r="E200" s="41"/>
      <c r="F200" s="41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1"/>
      <c r="X200" s="41"/>
      <c r="Y200" s="41"/>
      <c r="Z200" s="41"/>
    </row>
    <row r="201" ht="15.75" customHeight="1">
      <c r="A201" s="43"/>
      <c r="B201" s="41"/>
      <c r="C201" s="41"/>
      <c r="D201" s="41"/>
      <c r="E201" s="41"/>
      <c r="F201" s="41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1"/>
      <c r="X201" s="41"/>
      <c r="Y201" s="41"/>
      <c r="Z201" s="41"/>
    </row>
    <row r="202" ht="15.75" customHeight="1">
      <c r="A202" s="43"/>
      <c r="B202" s="41"/>
      <c r="C202" s="41"/>
      <c r="D202" s="41"/>
      <c r="E202" s="41"/>
      <c r="F202" s="41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1"/>
      <c r="X202" s="41"/>
      <c r="Y202" s="41"/>
      <c r="Z202" s="41"/>
    </row>
    <row r="203" ht="15.75" customHeight="1">
      <c r="A203" s="43"/>
      <c r="B203" s="41"/>
      <c r="C203" s="41"/>
      <c r="D203" s="41"/>
      <c r="E203" s="41"/>
      <c r="F203" s="41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1"/>
      <c r="X203" s="41"/>
      <c r="Y203" s="41"/>
      <c r="Z203" s="41"/>
    </row>
    <row r="204" ht="15.75" customHeight="1">
      <c r="A204" s="43"/>
      <c r="B204" s="41"/>
      <c r="C204" s="41"/>
      <c r="D204" s="41"/>
      <c r="E204" s="41"/>
      <c r="F204" s="41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1"/>
      <c r="X204" s="41"/>
      <c r="Y204" s="41"/>
      <c r="Z204" s="41"/>
    </row>
    <row r="205" ht="15.75" customHeight="1">
      <c r="A205" s="43"/>
      <c r="B205" s="41"/>
      <c r="C205" s="41"/>
      <c r="D205" s="41"/>
      <c r="E205" s="41"/>
      <c r="F205" s="41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1"/>
      <c r="X205" s="41"/>
      <c r="Y205" s="41"/>
      <c r="Z205" s="41"/>
    </row>
    <row r="206" ht="15.75" customHeight="1">
      <c r="A206" s="43"/>
      <c r="B206" s="41"/>
      <c r="C206" s="41"/>
      <c r="D206" s="41"/>
      <c r="E206" s="41"/>
      <c r="F206" s="41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1"/>
      <c r="X206" s="41"/>
      <c r="Y206" s="41"/>
      <c r="Z206" s="41"/>
    </row>
    <row r="207" ht="15.75" customHeight="1">
      <c r="A207" s="43"/>
      <c r="B207" s="41"/>
      <c r="C207" s="41"/>
      <c r="D207" s="41"/>
      <c r="E207" s="41"/>
      <c r="F207" s="41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1"/>
      <c r="X207" s="41"/>
      <c r="Y207" s="41"/>
      <c r="Z207" s="41"/>
    </row>
    <row r="208" ht="15.75" customHeight="1">
      <c r="A208" s="43"/>
      <c r="B208" s="41"/>
      <c r="C208" s="41"/>
      <c r="D208" s="41"/>
      <c r="E208" s="41"/>
      <c r="F208" s="41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1"/>
      <c r="X208" s="41"/>
      <c r="Y208" s="41"/>
      <c r="Z208" s="41"/>
    </row>
    <row r="209" ht="15.75" customHeight="1">
      <c r="A209" s="43"/>
      <c r="B209" s="41"/>
      <c r="C209" s="41"/>
      <c r="D209" s="41"/>
      <c r="E209" s="41"/>
      <c r="F209" s="41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1"/>
      <c r="X209" s="41"/>
      <c r="Y209" s="41"/>
      <c r="Z209" s="41"/>
    </row>
    <row r="210" ht="15.75" customHeight="1">
      <c r="A210" s="43"/>
      <c r="B210" s="41"/>
      <c r="C210" s="41"/>
      <c r="D210" s="41"/>
      <c r="E210" s="41"/>
      <c r="F210" s="41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1"/>
      <c r="X210" s="41"/>
      <c r="Y210" s="41"/>
      <c r="Z210" s="41"/>
    </row>
    <row r="211" ht="15.75" customHeight="1">
      <c r="A211" s="43"/>
      <c r="B211" s="41"/>
      <c r="C211" s="41"/>
      <c r="D211" s="41"/>
      <c r="E211" s="41"/>
      <c r="F211" s="41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1"/>
      <c r="X211" s="41"/>
      <c r="Y211" s="41"/>
      <c r="Z211" s="41"/>
    </row>
    <row r="212" ht="15.75" customHeight="1">
      <c r="A212" s="43"/>
      <c r="B212" s="41"/>
      <c r="C212" s="41"/>
      <c r="D212" s="41"/>
      <c r="E212" s="41"/>
      <c r="F212" s="41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1"/>
      <c r="X212" s="41"/>
      <c r="Y212" s="41"/>
      <c r="Z212" s="41"/>
    </row>
    <row r="213" ht="15.75" customHeight="1">
      <c r="A213" s="43"/>
      <c r="B213" s="41"/>
      <c r="C213" s="41"/>
      <c r="D213" s="41"/>
      <c r="E213" s="41"/>
      <c r="F213" s="41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1"/>
      <c r="X213" s="41"/>
      <c r="Y213" s="41"/>
      <c r="Z213" s="41"/>
    </row>
    <row r="214" ht="15.75" customHeight="1">
      <c r="A214" s="43"/>
      <c r="B214" s="41"/>
      <c r="C214" s="41"/>
      <c r="D214" s="41"/>
      <c r="E214" s="41"/>
      <c r="F214" s="41"/>
      <c r="G214" s="41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1"/>
      <c r="X214" s="41"/>
      <c r="Y214" s="41"/>
      <c r="Z214" s="41"/>
    </row>
    <row r="215" ht="15.75" customHeight="1">
      <c r="A215" s="43"/>
      <c r="B215" s="41"/>
      <c r="C215" s="41"/>
      <c r="D215" s="41"/>
      <c r="E215" s="41"/>
      <c r="F215" s="41"/>
      <c r="G215" s="41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1"/>
      <c r="X215" s="41"/>
      <c r="Y215" s="41"/>
      <c r="Z215" s="41"/>
    </row>
    <row r="216" ht="15.75" customHeight="1">
      <c r="A216" s="43"/>
      <c r="B216" s="41"/>
      <c r="C216" s="41"/>
      <c r="D216" s="41"/>
      <c r="E216" s="41"/>
      <c r="F216" s="41"/>
      <c r="G216" s="41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1"/>
      <c r="X216" s="41"/>
      <c r="Y216" s="41"/>
      <c r="Z216" s="41"/>
    </row>
    <row r="217" ht="15.75" customHeight="1">
      <c r="A217" s="43"/>
      <c r="B217" s="41"/>
      <c r="C217" s="41"/>
      <c r="D217" s="41"/>
      <c r="E217" s="41"/>
      <c r="F217" s="41"/>
      <c r="G217" s="41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1"/>
      <c r="X217" s="41"/>
      <c r="Y217" s="41"/>
      <c r="Z217" s="41"/>
    </row>
    <row r="218" ht="15.75" customHeight="1">
      <c r="A218" s="43"/>
      <c r="B218" s="41"/>
      <c r="C218" s="41"/>
      <c r="D218" s="41"/>
      <c r="E218" s="41"/>
      <c r="F218" s="41"/>
      <c r="G218" s="41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1"/>
      <c r="X218" s="41"/>
      <c r="Y218" s="41"/>
      <c r="Z218" s="41"/>
    </row>
    <row r="219" ht="15.75" customHeight="1">
      <c r="A219" s="43"/>
      <c r="B219" s="41"/>
      <c r="C219" s="41"/>
      <c r="D219" s="41"/>
      <c r="E219" s="41"/>
      <c r="F219" s="41"/>
      <c r="G219" s="41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1"/>
      <c r="X219" s="41"/>
      <c r="Y219" s="41"/>
      <c r="Z219" s="41"/>
    </row>
    <row r="220" ht="15.75" customHeight="1">
      <c r="A220" s="43"/>
      <c r="B220" s="41"/>
      <c r="C220" s="41"/>
      <c r="D220" s="41"/>
      <c r="E220" s="41"/>
      <c r="F220" s="41"/>
      <c r="G220" s="41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1"/>
      <c r="X220" s="41"/>
      <c r="Y220" s="41"/>
      <c r="Z220" s="41"/>
    </row>
    <row r="221" ht="15.75" customHeight="1">
      <c r="A221" s="43"/>
      <c r="B221" s="41"/>
      <c r="C221" s="41"/>
      <c r="D221" s="41"/>
      <c r="E221" s="41"/>
      <c r="F221" s="41"/>
      <c r="G221" s="41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1"/>
      <c r="X221" s="41"/>
      <c r="Y221" s="41"/>
      <c r="Z221" s="41"/>
    </row>
    <row r="222" ht="15.75" customHeight="1">
      <c r="A222" s="43"/>
      <c r="B222" s="41"/>
      <c r="C222" s="41"/>
      <c r="D222" s="41"/>
      <c r="E222" s="41"/>
      <c r="F222" s="41"/>
      <c r="G222" s="41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1"/>
      <c r="X222" s="41"/>
      <c r="Y222" s="41"/>
      <c r="Z222" s="41"/>
    </row>
    <row r="223" ht="15.75" customHeight="1">
      <c r="A223" s="43"/>
      <c r="B223" s="41"/>
      <c r="C223" s="41"/>
      <c r="D223" s="41"/>
      <c r="E223" s="41"/>
      <c r="F223" s="41"/>
      <c r="G223" s="41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1"/>
      <c r="X223" s="41"/>
      <c r="Y223" s="41"/>
      <c r="Z223" s="41"/>
    </row>
    <row r="224" ht="15.75" customHeight="1">
      <c r="A224" s="43"/>
      <c r="B224" s="41"/>
      <c r="C224" s="41"/>
      <c r="D224" s="41"/>
      <c r="E224" s="41"/>
      <c r="F224" s="41"/>
      <c r="G224" s="41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1"/>
      <c r="X224" s="41"/>
      <c r="Y224" s="41"/>
      <c r="Z224" s="41"/>
    </row>
    <row r="225" ht="15.75" customHeight="1">
      <c r="A225" s="43"/>
      <c r="B225" s="41"/>
      <c r="C225" s="41"/>
      <c r="D225" s="41"/>
      <c r="E225" s="41"/>
      <c r="F225" s="41"/>
      <c r="G225" s="41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1"/>
      <c r="X225" s="41"/>
      <c r="Y225" s="41"/>
      <c r="Z225" s="4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24">
    <mergeCell ref="D10:D12"/>
    <mergeCell ref="E10:E12"/>
    <mergeCell ref="H2:I2"/>
    <mergeCell ref="J2:K2"/>
    <mergeCell ref="L2:M2"/>
    <mergeCell ref="N2:N3"/>
    <mergeCell ref="A10:A12"/>
    <mergeCell ref="B10:B12"/>
    <mergeCell ref="C10:C12"/>
    <mergeCell ref="H10:L10"/>
    <mergeCell ref="H11:J11"/>
    <mergeCell ref="M11:O11"/>
    <mergeCell ref="P11:P12"/>
    <mergeCell ref="Q11:Q12"/>
    <mergeCell ref="R11:T11"/>
    <mergeCell ref="U11:U12"/>
    <mergeCell ref="F10:F12"/>
    <mergeCell ref="G10:G12"/>
    <mergeCell ref="M10:Q10"/>
    <mergeCell ref="R10:V10"/>
    <mergeCell ref="W10:W12"/>
    <mergeCell ref="K11:K12"/>
    <mergeCell ref="L11:L12"/>
    <mergeCell ref="V11:V12"/>
  </mergeCells>
  <dataValidations>
    <dataValidation type="list" allowBlank="1" showErrorMessage="1" sqref="H13:I25 M13:N25 R13:S25">
      <formula1>"Passed,Failed,Blocked,Not Run"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78"/>
    <col customWidth="1" min="3" max="3" width="13.33"/>
    <col customWidth="1" min="4" max="4" width="22.33"/>
    <col customWidth="1" min="5" max="5" width="23.89"/>
    <col customWidth="1" min="6" max="7" width="33.44"/>
    <col customWidth="1" min="8" max="9" width="16.44"/>
    <col customWidth="1" min="10" max="10" width="17.33"/>
    <col customWidth="1" min="11" max="11" width="21.11"/>
    <col customWidth="1" min="12" max="12" width="13.11"/>
    <col customWidth="1" min="13" max="14" width="16.44"/>
    <col customWidth="1" min="15" max="15" width="17.33"/>
    <col customWidth="1" min="16" max="16" width="24.67"/>
    <col customWidth="1" min="17" max="17" width="13.67"/>
    <col customWidth="1" min="18" max="19" width="16.44"/>
    <col customWidth="1" min="20" max="20" width="17.33"/>
    <col customWidth="1" min="21" max="21" width="23.44"/>
    <col customWidth="1" min="22" max="22" width="13.33"/>
    <col customWidth="1" min="23" max="23" width="12.33"/>
    <col customWidth="1" min="24" max="26" width="10.56"/>
  </cols>
  <sheetData>
    <row r="1" ht="15.75" customHeight="1">
      <c r="A1" s="40" t="s">
        <v>61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1"/>
      <c r="X1" s="41"/>
      <c r="Y1" s="41"/>
      <c r="Z1" s="41"/>
    </row>
    <row r="2" ht="15.75" customHeight="1">
      <c r="A2" s="43"/>
      <c r="B2" s="41"/>
      <c r="C2" s="41"/>
      <c r="D2" s="41"/>
      <c r="E2" s="41"/>
      <c r="F2" s="41"/>
      <c r="G2" s="41"/>
      <c r="H2" s="29" t="s">
        <v>45</v>
      </c>
      <c r="I2" s="6"/>
      <c r="J2" s="29" t="s">
        <v>46</v>
      </c>
      <c r="K2" s="6"/>
      <c r="L2" s="29" t="s">
        <v>47</v>
      </c>
      <c r="M2" s="6"/>
      <c r="N2" s="28" t="s">
        <v>62</v>
      </c>
      <c r="O2" s="42"/>
      <c r="P2" s="42"/>
      <c r="Q2" s="42"/>
      <c r="R2" s="42"/>
      <c r="S2" s="42"/>
      <c r="T2" s="42"/>
      <c r="U2" s="42"/>
      <c r="V2" s="42"/>
      <c r="W2" s="41"/>
      <c r="X2" s="41"/>
      <c r="Y2" s="41"/>
      <c r="Z2" s="41"/>
    </row>
    <row r="3" ht="15.75" customHeight="1">
      <c r="A3" s="13" t="s">
        <v>24</v>
      </c>
      <c r="B3" s="13" t="s">
        <v>63</v>
      </c>
      <c r="C3" s="41"/>
      <c r="D3" s="13" t="s">
        <v>64</v>
      </c>
      <c r="E3" s="13" t="s">
        <v>65</v>
      </c>
      <c r="F3" s="41"/>
      <c r="G3" s="44"/>
      <c r="H3" s="45" t="s">
        <v>48</v>
      </c>
      <c r="I3" s="45" t="s">
        <v>49</v>
      </c>
      <c r="J3" s="45" t="s">
        <v>48</v>
      </c>
      <c r="K3" s="45" t="s">
        <v>49</v>
      </c>
      <c r="L3" s="45" t="s">
        <v>48</v>
      </c>
      <c r="M3" s="45" t="s">
        <v>201</v>
      </c>
      <c r="N3" s="34"/>
      <c r="O3" s="42"/>
      <c r="P3" s="42"/>
      <c r="Q3" s="42"/>
      <c r="R3" s="42"/>
      <c r="S3" s="42"/>
      <c r="T3" s="42"/>
      <c r="U3" s="42"/>
      <c r="V3" s="42"/>
      <c r="W3" s="41"/>
      <c r="X3" s="41"/>
      <c r="Y3" s="41"/>
      <c r="Z3" s="41"/>
    </row>
    <row r="4" ht="15.75" customHeight="1">
      <c r="A4" s="46" t="s">
        <v>18</v>
      </c>
      <c r="B4" s="18" t="s">
        <v>53</v>
      </c>
      <c r="C4" s="41"/>
      <c r="D4" s="46" t="s">
        <v>202</v>
      </c>
      <c r="E4" s="47" t="s">
        <v>203</v>
      </c>
      <c r="F4" s="41"/>
      <c r="G4" s="13" t="s">
        <v>68</v>
      </c>
      <c r="H4" s="48">
        <f t="shared" ref="H4:I4" si="1">COUNTIF(H13:H192,"PASSED")</f>
        <v>14</v>
      </c>
      <c r="I4" s="48">
        <f t="shared" si="1"/>
        <v>13</v>
      </c>
      <c r="J4" s="48">
        <f t="shared" ref="J4:K4" si="2">COUNTIF(M13:M192,"PASSED")</f>
        <v>16</v>
      </c>
      <c r="K4" s="48">
        <f t="shared" si="2"/>
        <v>16</v>
      </c>
      <c r="L4" s="48">
        <f t="shared" ref="L4:M4" si="3">COUNTIF(R13:R192,"PASSED")</f>
        <v>16</v>
      </c>
      <c r="M4" s="48">
        <f t="shared" si="3"/>
        <v>16</v>
      </c>
      <c r="N4" s="48">
        <f t="shared" ref="N4:N8" si="7">SUM(H4:M4)</f>
        <v>91</v>
      </c>
      <c r="O4" s="42"/>
      <c r="P4" s="42"/>
      <c r="Q4" s="42"/>
      <c r="R4" s="42"/>
      <c r="S4" s="42"/>
      <c r="T4" s="42"/>
      <c r="U4" s="42"/>
      <c r="V4" s="42"/>
      <c r="W4" s="41"/>
      <c r="X4" s="41"/>
      <c r="Y4" s="41"/>
      <c r="Z4" s="41"/>
    </row>
    <row r="5" ht="15.75" customHeight="1">
      <c r="A5" s="49"/>
      <c r="B5" s="49"/>
      <c r="C5" s="41"/>
      <c r="D5" s="49"/>
      <c r="E5" s="49"/>
      <c r="F5" s="41"/>
      <c r="G5" s="13" t="s">
        <v>69</v>
      </c>
      <c r="H5" s="48">
        <f t="shared" ref="H5:I5" si="4">COUNTIF(H13:H202,"FAILED")</f>
        <v>2</v>
      </c>
      <c r="I5" s="48">
        <f t="shared" si="4"/>
        <v>3</v>
      </c>
      <c r="J5" s="48">
        <f t="shared" ref="J5:K5" si="5">COUNTIF(M14:M193,"FAILED")</f>
        <v>0</v>
      </c>
      <c r="K5" s="48">
        <f t="shared" si="5"/>
        <v>0</v>
      </c>
      <c r="L5" s="48">
        <f t="shared" ref="L5:M5" si="6">COUNTIF(R14:R193,"FAILED")</f>
        <v>0</v>
      </c>
      <c r="M5" s="48">
        <f t="shared" si="6"/>
        <v>0</v>
      </c>
      <c r="N5" s="48">
        <f t="shared" si="7"/>
        <v>5</v>
      </c>
      <c r="O5" s="42"/>
      <c r="P5" s="42"/>
      <c r="Q5" s="42"/>
      <c r="R5" s="42"/>
      <c r="S5" s="42"/>
      <c r="T5" s="42"/>
      <c r="U5" s="42"/>
      <c r="V5" s="42"/>
      <c r="W5" s="41"/>
      <c r="X5" s="41"/>
      <c r="Y5" s="41"/>
      <c r="Z5" s="41"/>
    </row>
    <row r="6" ht="15.75" customHeight="1">
      <c r="A6" s="49"/>
      <c r="B6" s="49"/>
      <c r="C6" s="41"/>
      <c r="D6" s="49"/>
      <c r="E6" s="49"/>
      <c r="F6" s="41"/>
      <c r="G6" s="13" t="s">
        <v>70</v>
      </c>
      <c r="H6" s="48">
        <f t="shared" ref="H6:I6" si="8">COUNTIF(H13:H212,"BLOCKED")</f>
        <v>0</v>
      </c>
      <c r="I6" s="48">
        <f t="shared" si="8"/>
        <v>0</v>
      </c>
      <c r="J6" s="48">
        <f t="shared" ref="J6:K6" si="9">COUNTIF(M15:M194,"BLOCKED")</f>
        <v>0</v>
      </c>
      <c r="K6" s="48">
        <f t="shared" si="9"/>
        <v>0</v>
      </c>
      <c r="L6" s="48">
        <f t="shared" ref="L6:M6" si="10">COUNTIF(R15:R194,"BLOCKED")</f>
        <v>0</v>
      </c>
      <c r="M6" s="48">
        <f t="shared" si="10"/>
        <v>0</v>
      </c>
      <c r="N6" s="48">
        <f t="shared" si="7"/>
        <v>0</v>
      </c>
      <c r="O6" s="42"/>
      <c r="P6" s="42"/>
      <c r="Q6" s="42"/>
      <c r="R6" s="42"/>
      <c r="S6" s="42"/>
      <c r="T6" s="42"/>
      <c r="U6" s="42"/>
      <c r="V6" s="42"/>
      <c r="W6" s="41"/>
      <c r="X6" s="41"/>
      <c r="Y6" s="41"/>
      <c r="Z6" s="41"/>
    </row>
    <row r="7" ht="15.75" customHeight="1">
      <c r="A7" s="49"/>
      <c r="B7" s="49"/>
      <c r="C7" s="41"/>
      <c r="D7" s="49"/>
      <c r="E7" s="49"/>
      <c r="F7" s="41"/>
      <c r="G7" s="13" t="s">
        <v>71</v>
      </c>
      <c r="H7" s="48">
        <f t="shared" ref="H7:I7" si="11">COUNTIF(H13:H222,"NOT RUN")</f>
        <v>0</v>
      </c>
      <c r="I7" s="48">
        <f t="shared" si="11"/>
        <v>0</v>
      </c>
      <c r="J7" s="48">
        <f t="shared" ref="J7:K7" si="12">COUNTIF(M16:M195,"NOT RUN")</f>
        <v>0</v>
      </c>
      <c r="K7" s="48">
        <f t="shared" si="12"/>
        <v>0</v>
      </c>
      <c r="L7" s="48">
        <f t="shared" ref="L7:M7" si="13">COUNTIF(R16:R195,"NOT RUN")</f>
        <v>0</v>
      </c>
      <c r="M7" s="48">
        <f t="shared" si="13"/>
        <v>0</v>
      </c>
      <c r="N7" s="48">
        <f t="shared" si="7"/>
        <v>0</v>
      </c>
      <c r="O7" s="42"/>
      <c r="P7" s="42"/>
      <c r="Q7" s="42"/>
      <c r="R7" s="42"/>
      <c r="S7" s="42"/>
      <c r="T7" s="42"/>
      <c r="U7" s="42"/>
      <c r="V7" s="42"/>
      <c r="W7" s="41"/>
      <c r="X7" s="41"/>
      <c r="Y7" s="41"/>
      <c r="Z7" s="41"/>
    </row>
    <row r="8" ht="15.75" customHeight="1">
      <c r="A8" s="49"/>
      <c r="B8" s="49"/>
      <c r="C8" s="41"/>
      <c r="D8" s="49"/>
      <c r="E8" s="49"/>
      <c r="F8" s="41"/>
      <c r="G8" s="13" t="s">
        <v>72</v>
      </c>
      <c r="H8" s="48">
        <f t="shared" ref="H8:M8" si="14">COUNTA($G13:$G204)</f>
        <v>16</v>
      </c>
      <c r="I8" s="48">
        <f t="shared" si="14"/>
        <v>16</v>
      </c>
      <c r="J8" s="48">
        <f t="shared" si="14"/>
        <v>16</v>
      </c>
      <c r="K8" s="48">
        <f t="shared" si="14"/>
        <v>16</v>
      </c>
      <c r="L8" s="48">
        <f t="shared" si="14"/>
        <v>16</v>
      </c>
      <c r="M8" s="48">
        <f t="shared" si="14"/>
        <v>16</v>
      </c>
      <c r="N8" s="48">
        <f t="shared" si="7"/>
        <v>96</v>
      </c>
      <c r="O8" s="42"/>
      <c r="P8" s="42"/>
      <c r="Q8" s="42"/>
      <c r="R8" s="42"/>
      <c r="S8" s="42"/>
      <c r="T8" s="42"/>
      <c r="U8" s="42"/>
      <c r="V8" s="42"/>
      <c r="W8" s="41"/>
      <c r="X8" s="41"/>
      <c r="Y8" s="41"/>
      <c r="Z8" s="41"/>
    </row>
    <row r="9" ht="15.75" customHeight="1">
      <c r="A9" s="43"/>
      <c r="B9" s="41"/>
      <c r="C9" s="41"/>
      <c r="D9" s="41"/>
      <c r="E9" s="41"/>
      <c r="F9" s="41"/>
      <c r="G9" s="41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1"/>
      <c r="X9" s="41"/>
      <c r="Y9" s="41"/>
      <c r="Z9" s="41"/>
    </row>
    <row r="10" ht="15.75" customHeight="1">
      <c r="A10" s="28" t="s">
        <v>20</v>
      </c>
      <c r="B10" s="28" t="s">
        <v>73</v>
      </c>
      <c r="C10" s="28" t="s">
        <v>74</v>
      </c>
      <c r="D10" s="28" t="s">
        <v>75</v>
      </c>
      <c r="E10" s="28" t="s">
        <v>76</v>
      </c>
      <c r="F10" s="28" t="s">
        <v>77</v>
      </c>
      <c r="G10" s="28" t="s">
        <v>78</v>
      </c>
      <c r="H10" s="29" t="s">
        <v>45</v>
      </c>
      <c r="I10" s="30"/>
      <c r="J10" s="30"/>
      <c r="K10" s="30"/>
      <c r="L10" s="6"/>
      <c r="M10" s="29" t="s">
        <v>46</v>
      </c>
      <c r="N10" s="30"/>
      <c r="O10" s="30"/>
      <c r="P10" s="30"/>
      <c r="Q10" s="6"/>
      <c r="R10" s="29" t="s">
        <v>47</v>
      </c>
      <c r="S10" s="30"/>
      <c r="T10" s="30"/>
      <c r="U10" s="30"/>
      <c r="V10" s="6"/>
      <c r="W10" s="28" t="s">
        <v>27</v>
      </c>
      <c r="X10" s="12"/>
      <c r="Y10" s="12"/>
      <c r="Z10" s="12"/>
    </row>
    <row r="11" ht="15.75" customHeight="1">
      <c r="A11" s="32"/>
      <c r="B11" s="32"/>
      <c r="C11" s="32"/>
      <c r="D11" s="32"/>
      <c r="E11" s="32"/>
      <c r="F11" s="32"/>
      <c r="G11" s="32"/>
      <c r="H11" s="29" t="s">
        <v>79</v>
      </c>
      <c r="I11" s="30"/>
      <c r="J11" s="6"/>
      <c r="K11" s="28" t="s">
        <v>80</v>
      </c>
      <c r="L11" s="28" t="s">
        <v>81</v>
      </c>
      <c r="M11" s="29" t="s">
        <v>79</v>
      </c>
      <c r="N11" s="30"/>
      <c r="O11" s="6"/>
      <c r="P11" s="28" t="s">
        <v>80</v>
      </c>
      <c r="Q11" s="28" t="s">
        <v>81</v>
      </c>
      <c r="R11" s="29" t="s">
        <v>79</v>
      </c>
      <c r="S11" s="30"/>
      <c r="T11" s="6"/>
      <c r="U11" s="28" t="s">
        <v>80</v>
      </c>
      <c r="V11" s="28" t="s">
        <v>81</v>
      </c>
      <c r="W11" s="32"/>
      <c r="X11" s="41"/>
      <c r="Y11" s="41"/>
      <c r="Z11" s="41"/>
    </row>
    <row r="12" ht="15.75" customHeight="1">
      <c r="A12" s="34"/>
      <c r="B12" s="34"/>
      <c r="C12" s="34"/>
      <c r="D12" s="34"/>
      <c r="E12" s="34"/>
      <c r="F12" s="34"/>
      <c r="G12" s="34"/>
      <c r="H12" s="45" t="s">
        <v>48</v>
      </c>
      <c r="I12" s="45" t="s">
        <v>49</v>
      </c>
      <c r="J12" s="13" t="s">
        <v>82</v>
      </c>
      <c r="K12" s="34"/>
      <c r="L12" s="34"/>
      <c r="M12" s="45" t="s">
        <v>48</v>
      </c>
      <c r="N12" s="45" t="s">
        <v>49</v>
      </c>
      <c r="O12" s="13" t="s">
        <v>82</v>
      </c>
      <c r="P12" s="34"/>
      <c r="Q12" s="34"/>
      <c r="R12" s="45" t="s">
        <v>48</v>
      </c>
      <c r="S12" s="45" t="s">
        <v>201</v>
      </c>
      <c r="T12" s="13" t="s">
        <v>82</v>
      </c>
      <c r="U12" s="34"/>
      <c r="V12" s="34"/>
      <c r="W12" s="34"/>
      <c r="X12" s="41"/>
      <c r="Y12" s="41"/>
      <c r="Z12" s="41"/>
    </row>
    <row r="13" ht="37.5" customHeight="1">
      <c r="A13" s="17" t="str">
        <f t="shared" ref="A13:A28" si="15">"ID-00"&amp;(ROW()-(ROW($A$12)))</f>
        <v>ID-001</v>
      </c>
      <c r="B13" s="22" t="s">
        <v>137</v>
      </c>
      <c r="C13" s="22" t="s">
        <v>204</v>
      </c>
      <c r="D13" s="22" t="s">
        <v>205</v>
      </c>
      <c r="E13" s="22" t="s">
        <v>206</v>
      </c>
      <c r="F13" s="22" t="s">
        <v>207</v>
      </c>
      <c r="G13" s="22" t="s">
        <v>208</v>
      </c>
      <c r="H13" s="16" t="s">
        <v>50</v>
      </c>
      <c r="I13" s="21" t="s">
        <v>50</v>
      </c>
      <c r="J13" s="21" t="s">
        <v>88</v>
      </c>
      <c r="K13" s="35" t="s">
        <v>89</v>
      </c>
      <c r="L13" s="21" t="s">
        <v>209</v>
      </c>
      <c r="M13" s="21" t="s">
        <v>50</v>
      </c>
      <c r="N13" s="21" t="s">
        <v>50</v>
      </c>
      <c r="O13" s="21" t="s">
        <v>88</v>
      </c>
      <c r="P13" s="35" t="s">
        <v>210</v>
      </c>
      <c r="Q13" s="21" t="s">
        <v>209</v>
      </c>
      <c r="R13" s="21" t="s">
        <v>50</v>
      </c>
      <c r="S13" s="21" t="s">
        <v>50</v>
      </c>
      <c r="T13" s="21" t="s">
        <v>88</v>
      </c>
      <c r="U13" s="35" t="s">
        <v>211</v>
      </c>
      <c r="V13" s="21" t="s">
        <v>209</v>
      </c>
      <c r="W13" s="21" t="s">
        <v>92</v>
      </c>
      <c r="X13" s="41"/>
      <c r="Y13" s="41"/>
      <c r="Z13" s="41"/>
    </row>
    <row r="14" ht="45.0" customHeight="1">
      <c r="A14" s="17" t="str">
        <f t="shared" si="15"/>
        <v>ID-002</v>
      </c>
      <c r="B14" s="22" t="s">
        <v>101</v>
      </c>
      <c r="C14" s="22" t="s">
        <v>212</v>
      </c>
      <c r="D14" s="22" t="s">
        <v>213</v>
      </c>
      <c r="E14" s="22" t="s">
        <v>214</v>
      </c>
      <c r="F14" s="22" t="s">
        <v>215</v>
      </c>
      <c r="G14" s="22" t="s">
        <v>216</v>
      </c>
      <c r="H14" s="16" t="s">
        <v>51</v>
      </c>
      <c r="I14" s="16" t="s">
        <v>51</v>
      </c>
      <c r="J14" s="21" t="s">
        <v>217</v>
      </c>
      <c r="K14" s="35" t="s">
        <v>89</v>
      </c>
      <c r="L14" s="21" t="s">
        <v>209</v>
      </c>
      <c r="M14" s="21" t="s">
        <v>50</v>
      </c>
      <c r="N14" s="21" t="s">
        <v>50</v>
      </c>
      <c r="O14" s="21" t="s">
        <v>88</v>
      </c>
      <c r="P14" s="35" t="s">
        <v>210</v>
      </c>
      <c r="Q14" s="21" t="s">
        <v>209</v>
      </c>
      <c r="R14" s="21" t="s">
        <v>50</v>
      </c>
      <c r="S14" s="21" t="s">
        <v>50</v>
      </c>
      <c r="T14" s="21" t="s">
        <v>88</v>
      </c>
      <c r="U14" s="35" t="s">
        <v>211</v>
      </c>
      <c r="V14" s="21" t="s">
        <v>209</v>
      </c>
      <c r="W14" s="21" t="s">
        <v>92</v>
      </c>
      <c r="X14" s="41"/>
      <c r="Y14" s="41"/>
      <c r="Z14" s="41"/>
    </row>
    <row r="15" ht="39.0" customHeight="1">
      <c r="A15" s="17" t="str">
        <f t="shared" si="15"/>
        <v>ID-003</v>
      </c>
      <c r="B15" s="22" t="s">
        <v>143</v>
      </c>
      <c r="C15" s="22" t="s">
        <v>218</v>
      </c>
      <c r="D15" s="22" t="s">
        <v>213</v>
      </c>
      <c r="E15" s="22" t="s">
        <v>219</v>
      </c>
      <c r="F15" s="22" t="s">
        <v>220</v>
      </c>
      <c r="G15" s="22" t="s">
        <v>221</v>
      </c>
      <c r="H15" s="21" t="s">
        <v>50</v>
      </c>
      <c r="I15" s="16" t="s">
        <v>51</v>
      </c>
      <c r="J15" s="21" t="s">
        <v>222</v>
      </c>
      <c r="K15" s="35" t="s">
        <v>89</v>
      </c>
      <c r="L15" s="21" t="s">
        <v>209</v>
      </c>
      <c r="M15" s="21" t="s">
        <v>50</v>
      </c>
      <c r="N15" s="21" t="s">
        <v>50</v>
      </c>
      <c r="O15" s="21" t="s">
        <v>88</v>
      </c>
      <c r="P15" s="35" t="s">
        <v>210</v>
      </c>
      <c r="Q15" s="21" t="s">
        <v>209</v>
      </c>
      <c r="R15" s="21" t="s">
        <v>50</v>
      </c>
      <c r="S15" s="21" t="s">
        <v>50</v>
      </c>
      <c r="T15" s="21" t="s">
        <v>88</v>
      </c>
      <c r="U15" s="35" t="s">
        <v>211</v>
      </c>
      <c r="V15" s="21" t="s">
        <v>209</v>
      </c>
      <c r="W15" s="21" t="s">
        <v>92</v>
      </c>
      <c r="X15" s="41"/>
      <c r="Y15" s="41"/>
      <c r="Z15" s="41"/>
    </row>
    <row r="16" ht="42.0" customHeight="1">
      <c r="A16" s="17" t="str">
        <f t="shared" si="15"/>
        <v>ID-004</v>
      </c>
      <c r="B16" s="22" t="s">
        <v>137</v>
      </c>
      <c r="C16" s="22" t="s">
        <v>223</v>
      </c>
      <c r="D16" s="22" t="s">
        <v>224</v>
      </c>
      <c r="E16" s="22" t="s">
        <v>225</v>
      </c>
      <c r="F16" s="22" t="s">
        <v>226</v>
      </c>
      <c r="G16" s="22" t="s">
        <v>227</v>
      </c>
      <c r="H16" s="21" t="s">
        <v>50</v>
      </c>
      <c r="I16" s="16" t="s">
        <v>50</v>
      </c>
      <c r="J16" s="21" t="s">
        <v>88</v>
      </c>
      <c r="K16" s="35" t="s">
        <v>89</v>
      </c>
      <c r="L16" s="21" t="s">
        <v>209</v>
      </c>
      <c r="M16" s="21" t="s">
        <v>50</v>
      </c>
      <c r="N16" s="21" t="s">
        <v>50</v>
      </c>
      <c r="O16" s="21" t="s">
        <v>88</v>
      </c>
      <c r="P16" s="35" t="s">
        <v>210</v>
      </c>
      <c r="Q16" s="21" t="s">
        <v>209</v>
      </c>
      <c r="R16" s="21" t="s">
        <v>50</v>
      </c>
      <c r="S16" s="21" t="s">
        <v>50</v>
      </c>
      <c r="T16" s="21" t="s">
        <v>88</v>
      </c>
      <c r="U16" s="35" t="s">
        <v>211</v>
      </c>
      <c r="V16" s="21" t="s">
        <v>209</v>
      </c>
      <c r="W16" s="21" t="s">
        <v>92</v>
      </c>
      <c r="X16" s="41"/>
      <c r="Y16" s="41"/>
      <c r="Z16" s="41"/>
    </row>
    <row r="17" ht="45.0" customHeight="1">
      <c r="A17" s="17" t="str">
        <f t="shared" si="15"/>
        <v>ID-005</v>
      </c>
      <c r="B17" s="22" t="s">
        <v>143</v>
      </c>
      <c r="C17" s="22" t="s">
        <v>228</v>
      </c>
      <c r="D17" s="22" t="s">
        <v>224</v>
      </c>
      <c r="E17" s="22" t="s">
        <v>229</v>
      </c>
      <c r="F17" s="22" t="s">
        <v>230</v>
      </c>
      <c r="G17" s="22" t="s">
        <v>231</v>
      </c>
      <c r="H17" s="21" t="s">
        <v>51</v>
      </c>
      <c r="I17" s="16" t="s">
        <v>51</v>
      </c>
      <c r="J17" s="21" t="s">
        <v>232</v>
      </c>
      <c r="K17" s="35" t="s">
        <v>89</v>
      </c>
      <c r="L17" s="21" t="s">
        <v>209</v>
      </c>
      <c r="M17" s="21" t="s">
        <v>50</v>
      </c>
      <c r="N17" s="21" t="s">
        <v>50</v>
      </c>
      <c r="O17" s="21" t="s">
        <v>88</v>
      </c>
      <c r="P17" s="35" t="s">
        <v>210</v>
      </c>
      <c r="Q17" s="21" t="s">
        <v>209</v>
      </c>
      <c r="R17" s="21" t="s">
        <v>50</v>
      </c>
      <c r="S17" s="21" t="s">
        <v>50</v>
      </c>
      <c r="T17" s="21" t="s">
        <v>88</v>
      </c>
      <c r="U17" s="35" t="s">
        <v>211</v>
      </c>
      <c r="V17" s="21" t="s">
        <v>209</v>
      </c>
      <c r="W17" s="21" t="s">
        <v>92</v>
      </c>
      <c r="X17" s="41"/>
      <c r="Y17" s="41"/>
      <c r="Z17" s="41"/>
    </row>
    <row r="18" ht="53.25" customHeight="1">
      <c r="A18" s="17" t="str">
        <f t="shared" si="15"/>
        <v>ID-006</v>
      </c>
      <c r="B18" s="22" t="s">
        <v>143</v>
      </c>
      <c r="C18" s="22" t="s">
        <v>233</v>
      </c>
      <c r="D18" s="22" t="s">
        <v>234</v>
      </c>
      <c r="E18" s="22" t="s">
        <v>235</v>
      </c>
      <c r="F18" s="22" t="s">
        <v>236</v>
      </c>
      <c r="G18" s="22" t="s">
        <v>237</v>
      </c>
      <c r="H18" s="21" t="s">
        <v>50</v>
      </c>
      <c r="I18" s="21" t="s">
        <v>50</v>
      </c>
      <c r="J18" s="21" t="s">
        <v>88</v>
      </c>
      <c r="K18" s="35" t="s">
        <v>89</v>
      </c>
      <c r="L18" s="21" t="s">
        <v>209</v>
      </c>
      <c r="M18" s="21" t="s">
        <v>50</v>
      </c>
      <c r="N18" s="21" t="s">
        <v>50</v>
      </c>
      <c r="O18" s="21" t="s">
        <v>88</v>
      </c>
      <c r="P18" s="35" t="s">
        <v>210</v>
      </c>
      <c r="Q18" s="21" t="s">
        <v>209</v>
      </c>
      <c r="R18" s="21" t="s">
        <v>50</v>
      </c>
      <c r="S18" s="21" t="s">
        <v>50</v>
      </c>
      <c r="T18" s="21" t="s">
        <v>88</v>
      </c>
      <c r="U18" s="35" t="s">
        <v>211</v>
      </c>
      <c r="V18" s="21" t="s">
        <v>209</v>
      </c>
      <c r="W18" s="21" t="s">
        <v>92</v>
      </c>
      <c r="X18" s="41"/>
      <c r="Y18" s="41"/>
      <c r="Z18" s="41"/>
    </row>
    <row r="19" ht="66.75" customHeight="1">
      <c r="A19" s="17" t="str">
        <f t="shared" si="15"/>
        <v>ID-007</v>
      </c>
      <c r="B19" s="22" t="s">
        <v>143</v>
      </c>
      <c r="C19" s="22" t="s">
        <v>238</v>
      </c>
      <c r="D19" s="22" t="s">
        <v>239</v>
      </c>
      <c r="E19" s="22" t="s">
        <v>189</v>
      </c>
      <c r="F19" s="22" t="s">
        <v>240</v>
      </c>
      <c r="G19" s="22" t="s">
        <v>241</v>
      </c>
      <c r="H19" s="21" t="s">
        <v>50</v>
      </c>
      <c r="I19" s="21" t="s">
        <v>50</v>
      </c>
      <c r="J19" s="21" t="s">
        <v>88</v>
      </c>
      <c r="K19" s="35" t="s">
        <v>89</v>
      </c>
      <c r="L19" s="21" t="s">
        <v>209</v>
      </c>
      <c r="M19" s="21" t="s">
        <v>50</v>
      </c>
      <c r="N19" s="21" t="s">
        <v>50</v>
      </c>
      <c r="O19" s="21" t="s">
        <v>88</v>
      </c>
      <c r="P19" s="35" t="s">
        <v>210</v>
      </c>
      <c r="Q19" s="21" t="s">
        <v>209</v>
      </c>
      <c r="R19" s="21" t="s">
        <v>50</v>
      </c>
      <c r="S19" s="21" t="s">
        <v>50</v>
      </c>
      <c r="T19" s="21" t="s">
        <v>88</v>
      </c>
      <c r="U19" s="35" t="s">
        <v>211</v>
      </c>
      <c r="V19" s="21" t="s">
        <v>209</v>
      </c>
      <c r="W19" s="21" t="s">
        <v>92</v>
      </c>
      <c r="X19" s="41"/>
      <c r="Y19" s="41"/>
      <c r="Z19" s="41"/>
    </row>
    <row r="20" ht="72.0" customHeight="1">
      <c r="A20" s="17" t="str">
        <f t="shared" si="15"/>
        <v>ID-008</v>
      </c>
      <c r="B20" s="22" t="s">
        <v>143</v>
      </c>
      <c r="C20" s="22" t="s">
        <v>242</v>
      </c>
      <c r="D20" s="22" t="s">
        <v>239</v>
      </c>
      <c r="E20" s="22" t="s">
        <v>243</v>
      </c>
      <c r="F20" s="22" t="s">
        <v>244</v>
      </c>
      <c r="G20" s="22" t="s">
        <v>245</v>
      </c>
      <c r="H20" s="21" t="s">
        <v>50</v>
      </c>
      <c r="I20" s="21" t="s">
        <v>50</v>
      </c>
      <c r="J20" s="21" t="s">
        <v>88</v>
      </c>
      <c r="K20" s="35" t="s">
        <v>89</v>
      </c>
      <c r="L20" s="21" t="s">
        <v>209</v>
      </c>
      <c r="M20" s="21" t="s">
        <v>50</v>
      </c>
      <c r="N20" s="21" t="s">
        <v>50</v>
      </c>
      <c r="O20" s="21" t="s">
        <v>88</v>
      </c>
      <c r="P20" s="35" t="s">
        <v>210</v>
      </c>
      <c r="Q20" s="21" t="s">
        <v>209</v>
      </c>
      <c r="R20" s="21" t="s">
        <v>50</v>
      </c>
      <c r="S20" s="21" t="s">
        <v>50</v>
      </c>
      <c r="T20" s="21" t="s">
        <v>88</v>
      </c>
      <c r="U20" s="35" t="s">
        <v>211</v>
      </c>
      <c r="V20" s="21" t="s">
        <v>209</v>
      </c>
      <c r="W20" s="21" t="s">
        <v>92</v>
      </c>
      <c r="X20" s="41"/>
      <c r="Y20" s="41"/>
      <c r="Z20" s="41"/>
    </row>
    <row r="21" ht="69.0" customHeight="1">
      <c r="A21" s="17" t="str">
        <f t="shared" si="15"/>
        <v>ID-009</v>
      </c>
      <c r="B21" s="22" t="s">
        <v>246</v>
      </c>
      <c r="C21" s="22" t="s">
        <v>247</v>
      </c>
      <c r="D21" s="22" t="s">
        <v>239</v>
      </c>
      <c r="E21" s="22" t="s">
        <v>248</v>
      </c>
      <c r="F21" s="22" t="s">
        <v>249</v>
      </c>
      <c r="G21" s="22" t="s">
        <v>250</v>
      </c>
      <c r="H21" s="21" t="s">
        <v>50</v>
      </c>
      <c r="I21" s="21" t="s">
        <v>50</v>
      </c>
      <c r="J21" s="21" t="s">
        <v>88</v>
      </c>
      <c r="K21" s="35" t="s">
        <v>89</v>
      </c>
      <c r="L21" s="21" t="s">
        <v>209</v>
      </c>
      <c r="M21" s="21" t="s">
        <v>50</v>
      </c>
      <c r="N21" s="21" t="s">
        <v>50</v>
      </c>
      <c r="O21" s="21" t="s">
        <v>88</v>
      </c>
      <c r="P21" s="35" t="s">
        <v>210</v>
      </c>
      <c r="Q21" s="21" t="s">
        <v>209</v>
      </c>
      <c r="R21" s="21" t="s">
        <v>50</v>
      </c>
      <c r="S21" s="21" t="s">
        <v>50</v>
      </c>
      <c r="T21" s="21" t="s">
        <v>88</v>
      </c>
      <c r="U21" s="35" t="s">
        <v>211</v>
      </c>
      <c r="V21" s="21" t="s">
        <v>209</v>
      </c>
      <c r="W21" s="21" t="s">
        <v>92</v>
      </c>
      <c r="X21" s="41"/>
      <c r="Y21" s="41"/>
      <c r="Z21" s="41"/>
    </row>
    <row r="22" ht="60.75" customHeight="1">
      <c r="A22" s="17" t="str">
        <f t="shared" si="15"/>
        <v>ID-0010</v>
      </c>
      <c r="B22" s="22" t="s">
        <v>246</v>
      </c>
      <c r="C22" s="22" t="s">
        <v>251</v>
      </c>
      <c r="D22" s="22" t="s">
        <v>252</v>
      </c>
      <c r="E22" s="22" t="s">
        <v>253</v>
      </c>
      <c r="F22" s="22" t="s">
        <v>254</v>
      </c>
      <c r="G22" s="22" t="s">
        <v>255</v>
      </c>
      <c r="H22" s="21" t="s">
        <v>50</v>
      </c>
      <c r="I22" s="21" t="s">
        <v>50</v>
      </c>
      <c r="J22" s="21" t="s">
        <v>88</v>
      </c>
      <c r="K22" s="35" t="s">
        <v>89</v>
      </c>
      <c r="L22" s="21" t="s">
        <v>209</v>
      </c>
      <c r="M22" s="21" t="s">
        <v>50</v>
      </c>
      <c r="N22" s="21" t="s">
        <v>50</v>
      </c>
      <c r="O22" s="21" t="s">
        <v>88</v>
      </c>
      <c r="P22" s="35" t="s">
        <v>210</v>
      </c>
      <c r="Q22" s="21" t="s">
        <v>209</v>
      </c>
      <c r="R22" s="21" t="s">
        <v>50</v>
      </c>
      <c r="S22" s="21" t="s">
        <v>50</v>
      </c>
      <c r="T22" s="21" t="s">
        <v>88</v>
      </c>
      <c r="U22" s="35" t="s">
        <v>211</v>
      </c>
      <c r="V22" s="21" t="s">
        <v>209</v>
      </c>
      <c r="W22" s="21" t="s">
        <v>92</v>
      </c>
      <c r="X22" s="41"/>
      <c r="Y22" s="41"/>
      <c r="Z22" s="41"/>
    </row>
    <row r="23" ht="47.25" customHeight="1">
      <c r="A23" s="17" t="str">
        <f t="shared" si="15"/>
        <v>ID-0011</v>
      </c>
      <c r="B23" s="22" t="s">
        <v>101</v>
      </c>
      <c r="C23" s="22" t="s">
        <v>256</v>
      </c>
      <c r="D23" s="22" t="s">
        <v>257</v>
      </c>
      <c r="E23" s="22" t="s">
        <v>258</v>
      </c>
      <c r="F23" s="22" t="s">
        <v>259</v>
      </c>
      <c r="G23" s="22" t="s">
        <v>260</v>
      </c>
      <c r="H23" s="21" t="s">
        <v>50</v>
      </c>
      <c r="I23" s="21" t="s">
        <v>50</v>
      </c>
      <c r="J23" s="21" t="s">
        <v>88</v>
      </c>
      <c r="K23" s="35" t="s">
        <v>89</v>
      </c>
      <c r="L23" s="21" t="s">
        <v>209</v>
      </c>
      <c r="M23" s="21" t="s">
        <v>50</v>
      </c>
      <c r="N23" s="21" t="s">
        <v>50</v>
      </c>
      <c r="O23" s="21" t="s">
        <v>88</v>
      </c>
      <c r="P23" s="35" t="s">
        <v>210</v>
      </c>
      <c r="Q23" s="21" t="s">
        <v>209</v>
      </c>
      <c r="R23" s="21" t="s">
        <v>50</v>
      </c>
      <c r="S23" s="21" t="s">
        <v>50</v>
      </c>
      <c r="T23" s="21" t="s">
        <v>88</v>
      </c>
      <c r="U23" s="35" t="s">
        <v>211</v>
      </c>
      <c r="V23" s="21" t="s">
        <v>209</v>
      </c>
      <c r="W23" s="21" t="s">
        <v>92</v>
      </c>
      <c r="X23" s="41"/>
      <c r="Y23" s="41"/>
      <c r="Z23" s="41"/>
    </row>
    <row r="24" ht="48.0" customHeight="1">
      <c r="A24" s="17" t="str">
        <f t="shared" si="15"/>
        <v>ID-0012</v>
      </c>
      <c r="B24" s="22" t="s">
        <v>143</v>
      </c>
      <c r="C24" s="22" t="s">
        <v>261</v>
      </c>
      <c r="D24" s="22" t="s">
        <v>262</v>
      </c>
      <c r="E24" s="22" t="s">
        <v>263</v>
      </c>
      <c r="F24" s="22" t="s">
        <v>264</v>
      </c>
      <c r="G24" s="22" t="s">
        <v>265</v>
      </c>
      <c r="H24" s="21" t="s">
        <v>50</v>
      </c>
      <c r="I24" s="21" t="s">
        <v>50</v>
      </c>
      <c r="J24" s="21" t="s">
        <v>88</v>
      </c>
      <c r="K24" s="35" t="s">
        <v>89</v>
      </c>
      <c r="L24" s="21" t="s">
        <v>209</v>
      </c>
      <c r="M24" s="21" t="s">
        <v>50</v>
      </c>
      <c r="N24" s="21" t="s">
        <v>50</v>
      </c>
      <c r="O24" s="21" t="s">
        <v>88</v>
      </c>
      <c r="P24" s="35" t="s">
        <v>210</v>
      </c>
      <c r="Q24" s="21" t="s">
        <v>209</v>
      </c>
      <c r="R24" s="21" t="s">
        <v>50</v>
      </c>
      <c r="S24" s="21" t="s">
        <v>50</v>
      </c>
      <c r="T24" s="21" t="s">
        <v>88</v>
      </c>
      <c r="U24" s="35" t="s">
        <v>211</v>
      </c>
      <c r="V24" s="21" t="s">
        <v>209</v>
      </c>
      <c r="W24" s="21" t="s">
        <v>92</v>
      </c>
      <c r="X24" s="41"/>
      <c r="Y24" s="41"/>
      <c r="Z24" s="41"/>
    </row>
    <row r="25" ht="47.25" customHeight="1">
      <c r="A25" s="17" t="str">
        <f t="shared" si="15"/>
        <v>ID-0013</v>
      </c>
      <c r="B25" s="22" t="s">
        <v>143</v>
      </c>
      <c r="C25" s="22" t="s">
        <v>266</v>
      </c>
      <c r="D25" s="22" t="s">
        <v>262</v>
      </c>
      <c r="E25" s="22" t="s">
        <v>267</v>
      </c>
      <c r="F25" s="22" t="s">
        <v>268</v>
      </c>
      <c r="G25" s="22" t="s">
        <v>269</v>
      </c>
      <c r="H25" s="21" t="s">
        <v>50</v>
      </c>
      <c r="I25" s="21" t="s">
        <v>50</v>
      </c>
      <c r="J25" s="21" t="s">
        <v>88</v>
      </c>
      <c r="K25" s="35" t="s">
        <v>89</v>
      </c>
      <c r="L25" s="21" t="s">
        <v>209</v>
      </c>
      <c r="M25" s="21" t="s">
        <v>50</v>
      </c>
      <c r="N25" s="21" t="s">
        <v>50</v>
      </c>
      <c r="O25" s="21" t="s">
        <v>88</v>
      </c>
      <c r="P25" s="35" t="s">
        <v>210</v>
      </c>
      <c r="Q25" s="21" t="s">
        <v>209</v>
      </c>
      <c r="R25" s="21" t="s">
        <v>50</v>
      </c>
      <c r="S25" s="21" t="s">
        <v>50</v>
      </c>
      <c r="T25" s="21" t="s">
        <v>88</v>
      </c>
      <c r="U25" s="35" t="s">
        <v>211</v>
      </c>
      <c r="V25" s="21" t="s">
        <v>209</v>
      </c>
      <c r="W25" s="21" t="s">
        <v>92</v>
      </c>
      <c r="X25" s="41"/>
      <c r="Y25" s="41"/>
      <c r="Z25" s="41"/>
    </row>
    <row r="26" ht="48.0" customHeight="1">
      <c r="A26" s="17" t="str">
        <f t="shared" si="15"/>
        <v>ID-0014</v>
      </c>
      <c r="B26" s="22" t="s">
        <v>143</v>
      </c>
      <c r="C26" s="22" t="s">
        <v>270</v>
      </c>
      <c r="D26" s="22" t="s">
        <v>262</v>
      </c>
      <c r="E26" s="22" t="s">
        <v>271</v>
      </c>
      <c r="F26" s="22" t="s">
        <v>272</v>
      </c>
      <c r="G26" s="22" t="s">
        <v>273</v>
      </c>
      <c r="H26" s="21" t="s">
        <v>50</v>
      </c>
      <c r="I26" s="21" t="s">
        <v>50</v>
      </c>
      <c r="J26" s="21" t="s">
        <v>88</v>
      </c>
      <c r="K26" s="35" t="s">
        <v>89</v>
      </c>
      <c r="L26" s="21" t="s">
        <v>209</v>
      </c>
      <c r="M26" s="21" t="s">
        <v>50</v>
      </c>
      <c r="N26" s="21" t="s">
        <v>50</v>
      </c>
      <c r="O26" s="21" t="s">
        <v>88</v>
      </c>
      <c r="P26" s="35" t="s">
        <v>210</v>
      </c>
      <c r="Q26" s="21" t="s">
        <v>209</v>
      </c>
      <c r="R26" s="21" t="s">
        <v>50</v>
      </c>
      <c r="S26" s="21" t="s">
        <v>50</v>
      </c>
      <c r="T26" s="21" t="s">
        <v>88</v>
      </c>
      <c r="U26" s="35" t="s">
        <v>211</v>
      </c>
      <c r="V26" s="21" t="s">
        <v>209</v>
      </c>
      <c r="W26" s="21" t="s">
        <v>92</v>
      </c>
      <c r="X26" s="41"/>
      <c r="Y26" s="41"/>
      <c r="Z26" s="41"/>
    </row>
    <row r="27" ht="45.75" customHeight="1">
      <c r="A27" s="17" t="str">
        <f t="shared" si="15"/>
        <v>ID-0015</v>
      </c>
      <c r="B27" s="22" t="s">
        <v>137</v>
      </c>
      <c r="C27" s="22" t="s">
        <v>274</v>
      </c>
      <c r="D27" s="22" t="s">
        <v>262</v>
      </c>
      <c r="E27" s="22" t="s">
        <v>275</v>
      </c>
      <c r="F27" s="22" t="s">
        <v>276</v>
      </c>
      <c r="G27" s="22" t="s">
        <v>277</v>
      </c>
      <c r="H27" s="21" t="s">
        <v>50</v>
      </c>
      <c r="I27" s="21" t="s">
        <v>50</v>
      </c>
      <c r="J27" s="21" t="s">
        <v>88</v>
      </c>
      <c r="K27" s="35" t="s">
        <v>89</v>
      </c>
      <c r="L27" s="21" t="s">
        <v>209</v>
      </c>
      <c r="M27" s="21" t="s">
        <v>50</v>
      </c>
      <c r="N27" s="21" t="s">
        <v>50</v>
      </c>
      <c r="O27" s="21" t="s">
        <v>88</v>
      </c>
      <c r="P27" s="35" t="s">
        <v>210</v>
      </c>
      <c r="Q27" s="21" t="s">
        <v>209</v>
      </c>
      <c r="R27" s="21" t="s">
        <v>50</v>
      </c>
      <c r="S27" s="21" t="s">
        <v>50</v>
      </c>
      <c r="T27" s="21" t="s">
        <v>88</v>
      </c>
      <c r="U27" s="35" t="s">
        <v>211</v>
      </c>
      <c r="V27" s="21" t="s">
        <v>209</v>
      </c>
      <c r="W27" s="21" t="s">
        <v>92</v>
      </c>
      <c r="X27" s="41"/>
      <c r="Y27" s="41"/>
      <c r="Z27" s="41"/>
    </row>
    <row r="28" ht="51.75" customHeight="1">
      <c r="A28" s="17" t="str">
        <f t="shared" si="15"/>
        <v>ID-0016</v>
      </c>
      <c r="B28" s="22" t="s">
        <v>143</v>
      </c>
      <c r="C28" s="22" t="s">
        <v>278</v>
      </c>
      <c r="D28" s="22" t="s">
        <v>279</v>
      </c>
      <c r="E28" s="22" t="s">
        <v>280</v>
      </c>
      <c r="F28" s="22" t="s">
        <v>281</v>
      </c>
      <c r="G28" s="22" t="s">
        <v>282</v>
      </c>
      <c r="H28" s="21" t="s">
        <v>50</v>
      </c>
      <c r="I28" s="21" t="s">
        <v>50</v>
      </c>
      <c r="J28" s="21" t="s">
        <v>88</v>
      </c>
      <c r="K28" s="35" t="s">
        <v>89</v>
      </c>
      <c r="L28" s="21" t="s">
        <v>209</v>
      </c>
      <c r="M28" s="21" t="s">
        <v>50</v>
      </c>
      <c r="N28" s="21" t="s">
        <v>50</v>
      </c>
      <c r="O28" s="21" t="s">
        <v>88</v>
      </c>
      <c r="P28" s="35" t="s">
        <v>210</v>
      </c>
      <c r="Q28" s="21" t="s">
        <v>209</v>
      </c>
      <c r="R28" s="21" t="s">
        <v>50</v>
      </c>
      <c r="S28" s="21" t="s">
        <v>50</v>
      </c>
      <c r="T28" s="21" t="s">
        <v>88</v>
      </c>
      <c r="U28" s="35" t="s">
        <v>211</v>
      </c>
      <c r="V28" s="21" t="s">
        <v>209</v>
      </c>
      <c r="W28" s="21" t="s">
        <v>92</v>
      </c>
      <c r="X28" s="41"/>
      <c r="Y28" s="41"/>
      <c r="Z28" s="41"/>
    </row>
    <row r="29" ht="15.75" customHeight="1">
      <c r="A29" s="43"/>
      <c r="B29" s="41"/>
      <c r="C29" s="41"/>
      <c r="D29" s="41"/>
      <c r="E29" s="41"/>
      <c r="F29" s="41"/>
      <c r="G29" s="41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1"/>
      <c r="X29" s="41"/>
      <c r="Y29" s="41"/>
      <c r="Z29" s="41"/>
    </row>
    <row r="30" ht="15.75" customHeight="1">
      <c r="A30" s="43"/>
      <c r="B30" s="41"/>
      <c r="C30" s="41"/>
      <c r="D30" s="41"/>
      <c r="E30" s="41"/>
      <c r="F30" s="41"/>
      <c r="G30" s="41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1"/>
      <c r="X30" s="41"/>
      <c r="Y30" s="41"/>
      <c r="Z30" s="41"/>
    </row>
    <row r="31" ht="15.75" customHeight="1">
      <c r="A31" s="43"/>
      <c r="B31" s="41"/>
      <c r="C31" s="41"/>
      <c r="D31" s="41"/>
      <c r="E31" s="41"/>
      <c r="F31" s="41"/>
      <c r="G31" s="4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1"/>
      <c r="X31" s="41"/>
      <c r="Y31" s="41"/>
      <c r="Z31" s="41"/>
    </row>
    <row r="32" ht="15.75" customHeight="1">
      <c r="A32" s="43"/>
      <c r="B32" s="41"/>
      <c r="C32" s="41"/>
      <c r="D32" s="41"/>
      <c r="E32" s="41"/>
      <c r="F32" s="41"/>
      <c r="G32" s="41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1"/>
      <c r="X32" s="41"/>
      <c r="Y32" s="41"/>
      <c r="Z32" s="41"/>
    </row>
    <row r="33" ht="15.75" customHeight="1">
      <c r="A33" s="43"/>
      <c r="B33" s="41"/>
      <c r="C33" s="41"/>
      <c r="D33" s="41"/>
      <c r="E33" s="41"/>
      <c r="F33" s="41"/>
      <c r="G33" s="41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1"/>
      <c r="X33" s="41"/>
      <c r="Y33" s="41"/>
      <c r="Z33" s="41"/>
    </row>
    <row r="34" ht="15.75" customHeight="1">
      <c r="A34" s="43"/>
      <c r="B34" s="41"/>
      <c r="C34" s="41"/>
      <c r="D34" s="41"/>
      <c r="E34" s="41"/>
      <c r="F34" s="41"/>
      <c r="G34" s="41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1"/>
      <c r="X34" s="41"/>
      <c r="Y34" s="41"/>
      <c r="Z34" s="41"/>
    </row>
    <row r="35" ht="15.75" customHeight="1">
      <c r="A35" s="43"/>
      <c r="B35" s="41"/>
      <c r="C35" s="41"/>
      <c r="D35" s="41"/>
      <c r="E35" s="41"/>
      <c r="F35" s="41"/>
      <c r="G35" s="41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1"/>
      <c r="X35" s="41"/>
      <c r="Y35" s="41"/>
      <c r="Z35" s="41"/>
    </row>
    <row r="36" ht="15.75" customHeight="1">
      <c r="A36" s="43"/>
      <c r="B36" s="41"/>
      <c r="C36" s="41"/>
      <c r="D36" s="41"/>
      <c r="E36" s="41"/>
      <c r="F36" s="41"/>
      <c r="G36" s="41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1"/>
      <c r="X36" s="41"/>
      <c r="Y36" s="41"/>
      <c r="Z36" s="41"/>
    </row>
    <row r="37" ht="15.75" customHeight="1">
      <c r="A37" s="43"/>
      <c r="B37" s="41"/>
      <c r="C37" s="41"/>
      <c r="D37" s="41"/>
      <c r="E37" s="41"/>
      <c r="F37" s="41"/>
      <c r="G37" s="41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1"/>
      <c r="X37" s="41"/>
      <c r="Y37" s="41"/>
      <c r="Z37" s="41"/>
    </row>
    <row r="38" ht="15.75" customHeight="1">
      <c r="A38" s="43"/>
      <c r="B38" s="41"/>
      <c r="C38" s="41"/>
      <c r="D38" s="41"/>
      <c r="E38" s="41"/>
      <c r="F38" s="41"/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1"/>
      <c r="X38" s="41"/>
      <c r="Y38" s="41"/>
      <c r="Z38" s="41"/>
    </row>
    <row r="39" ht="15.75" customHeight="1">
      <c r="A39" s="43"/>
      <c r="B39" s="41"/>
      <c r="C39" s="41"/>
      <c r="D39" s="41"/>
      <c r="E39" s="41"/>
      <c r="F39" s="41"/>
      <c r="G39" s="41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1"/>
      <c r="X39" s="41"/>
      <c r="Y39" s="41"/>
      <c r="Z39" s="41"/>
    </row>
    <row r="40" ht="15.75" customHeight="1">
      <c r="A40" s="43"/>
      <c r="B40" s="41"/>
      <c r="C40" s="41"/>
      <c r="D40" s="41"/>
      <c r="E40" s="41"/>
      <c r="F40" s="41"/>
      <c r="G40" s="41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1"/>
      <c r="X40" s="41"/>
      <c r="Y40" s="41"/>
      <c r="Z40" s="41"/>
    </row>
    <row r="41" ht="15.75" customHeight="1">
      <c r="A41" s="43"/>
      <c r="B41" s="41"/>
      <c r="C41" s="41"/>
      <c r="D41" s="41"/>
      <c r="E41" s="4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1"/>
      <c r="X41" s="41"/>
      <c r="Y41" s="41"/>
      <c r="Z41" s="41"/>
    </row>
    <row r="42" ht="15.75" customHeight="1">
      <c r="A42" s="43"/>
      <c r="B42" s="41"/>
      <c r="C42" s="41"/>
      <c r="D42" s="41"/>
      <c r="E42" s="41"/>
      <c r="F42" s="41"/>
      <c r="G42" s="41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1"/>
      <c r="X42" s="41"/>
      <c r="Y42" s="41"/>
      <c r="Z42" s="41"/>
    </row>
    <row r="43" ht="15.75" customHeight="1">
      <c r="A43" s="43"/>
      <c r="B43" s="41"/>
      <c r="C43" s="41"/>
      <c r="D43" s="41"/>
      <c r="E43" s="41"/>
      <c r="F43" s="41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1"/>
      <c r="X43" s="41"/>
      <c r="Y43" s="41"/>
      <c r="Z43" s="41"/>
    </row>
    <row r="44" ht="15.75" customHeight="1">
      <c r="A44" s="43"/>
      <c r="B44" s="41"/>
      <c r="C44" s="41"/>
      <c r="D44" s="41"/>
      <c r="E44" s="41"/>
      <c r="F44" s="41"/>
      <c r="G44" s="41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1"/>
      <c r="X44" s="41"/>
      <c r="Y44" s="41"/>
      <c r="Z44" s="41"/>
    </row>
    <row r="45" ht="15.75" customHeight="1">
      <c r="A45" s="43"/>
      <c r="B45" s="41"/>
      <c r="C45" s="41"/>
      <c r="D45" s="41"/>
      <c r="E45" s="4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1"/>
      <c r="X45" s="41"/>
      <c r="Y45" s="41"/>
      <c r="Z45" s="41"/>
    </row>
    <row r="46" ht="15.75" customHeight="1">
      <c r="A46" s="43"/>
      <c r="B46" s="41"/>
      <c r="C46" s="41"/>
      <c r="D46" s="41"/>
      <c r="E46" s="41"/>
      <c r="F46" s="41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1"/>
      <c r="X46" s="41"/>
      <c r="Y46" s="41"/>
      <c r="Z46" s="41"/>
    </row>
    <row r="47" ht="15.75" customHeight="1">
      <c r="A47" s="43"/>
      <c r="B47" s="41"/>
      <c r="C47" s="41"/>
      <c r="D47" s="41"/>
      <c r="E47" s="41"/>
      <c r="F47" s="41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1"/>
      <c r="X47" s="41"/>
      <c r="Y47" s="41"/>
      <c r="Z47" s="41"/>
    </row>
    <row r="48" ht="15.75" customHeight="1">
      <c r="A48" s="43"/>
      <c r="B48" s="41"/>
      <c r="C48" s="41"/>
      <c r="D48" s="41"/>
      <c r="E48" s="41"/>
      <c r="F48" s="41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1"/>
      <c r="X48" s="41"/>
      <c r="Y48" s="41"/>
      <c r="Z48" s="41"/>
    </row>
    <row r="49" ht="15.75" customHeight="1">
      <c r="A49" s="43"/>
      <c r="B49" s="41"/>
      <c r="C49" s="41"/>
      <c r="D49" s="41"/>
      <c r="E49" s="41"/>
      <c r="F49" s="41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1"/>
      <c r="X49" s="41"/>
      <c r="Y49" s="41"/>
      <c r="Z49" s="41"/>
    </row>
    <row r="50" ht="15.75" customHeight="1">
      <c r="A50" s="43"/>
      <c r="B50" s="41"/>
      <c r="C50" s="41"/>
      <c r="D50" s="41"/>
      <c r="E50" s="41"/>
      <c r="F50" s="41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1"/>
      <c r="X50" s="41"/>
      <c r="Y50" s="41"/>
      <c r="Z50" s="41"/>
    </row>
    <row r="51" ht="15.75" customHeight="1">
      <c r="A51" s="43"/>
      <c r="B51" s="41"/>
      <c r="C51" s="41"/>
      <c r="D51" s="41"/>
      <c r="E51" s="41"/>
      <c r="F51" s="41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1"/>
      <c r="X51" s="41"/>
      <c r="Y51" s="41"/>
      <c r="Z51" s="41"/>
    </row>
    <row r="52" ht="15.75" customHeight="1">
      <c r="A52" s="43"/>
      <c r="B52" s="41"/>
      <c r="C52" s="41"/>
      <c r="D52" s="41"/>
      <c r="E52" s="41"/>
      <c r="F52" s="41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1"/>
      <c r="X52" s="41"/>
      <c r="Y52" s="41"/>
      <c r="Z52" s="41"/>
    </row>
    <row r="53" ht="15.75" customHeight="1">
      <c r="A53" s="43"/>
      <c r="B53" s="41"/>
      <c r="C53" s="41"/>
      <c r="D53" s="41"/>
      <c r="E53" s="41"/>
      <c r="F53" s="41"/>
      <c r="G53" s="41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1"/>
      <c r="X53" s="41"/>
      <c r="Y53" s="41"/>
      <c r="Z53" s="41"/>
    </row>
    <row r="54" ht="15.75" customHeight="1">
      <c r="A54" s="43"/>
      <c r="B54" s="41"/>
      <c r="C54" s="41"/>
      <c r="D54" s="41"/>
      <c r="E54" s="41"/>
      <c r="F54" s="41"/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1"/>
      <c r="X54" s="41"/>
      <c r="Y54" s="41"/>
      <c r="Z54" s="41"/>
    </row>
    <row r="55" ht="15.75" customHeight="1">
      <c r="A55" s="43"/>
      <c r="B55" s="41"/>
      <c r="C55" s="41"/>
      <c r="D55" s="41"/>
      <c r="E55" s="41"/>
      <c r="F55" s="41"/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1"/>
      <c r="X55" s="41"/>
      <c r="Y55" s="41"/>
      <c r="Z55" s="41"/>
    </row>
    <row r="56" ht="15.75" customHeight="1">
      <c r="A56" s="43"/>
      <c r="B56" s="41"/>
      <c r="C56" s="41"/>
      <c r="D56" s="41"/>
      <c r="E56" s="41"/>
      <c r="F56" s="41"/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1"/>
      <c r="X56" s="41"/>
      <c r="Y56" s="41"/>
      <c r="Z56" s="41"/>
    </row>
    <row r="57" ht="15.75" customHeight="1">
      <c r="A57" s="43"/>
      <c r="B57" s="41"/>
      <c r="C57" s="41"/>
      <c r="D57" s="41"/>
      <c r="E57" s="4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1"/>
      <c r="X57" s="41"/>
      <c r="Y57" s="41"/>
      <c r="Z57" s="41"/>
    </row>
    <row r="58" ht="15.75" customHeight="1">
      <c r="A58" s="43"/>
      <c r="B58" s="41"/>
      <c r="C58" s="41"/>
      <c r="D58" s="41"/>
      <c r="E58" s="41"/>
      <c r="F58" s="41"/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1"/>
      <c r="X58" s="41"/>
      <c r="Y58" s="41"/>
      <c r="Z58" s="41"/>
    </row>
    <row r="59" ht="15.75" customHeight="1">
      <c r="A59" s="43"/>
      <c r="B59" s="41"/>
      <c r="C59" s="41"/>
      <c r="D59" s="41"/>
      <c r="E59" s="41"/>
      <c r="F59" s="41"/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1"/>
      <c r="X59" s="41"/>
      <c r="Y59" s="41"/>
      <c r="Z59" s="41"/>
    </row>
    <row r="60" ht="15.75" customHeight="1">
      <c r="A60" s="43"/>
      <c r="B60" s="41"/>
      <c r="C60" s="41"/>
      <c r="D60" s="41"/>
      <c r="E60" s="41"/>
      <c r="F60" s="41"/>
      <c r="G60" s="41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1"/>
      <c r="X60" s="41"/>
      <c r="Y60" s="41"/>
      <c r="Z60" s="41"/>
    </row>
    <row r="61" ht="15.75" customHeight="1">
      <c r="A61" s="43"/>
      <c r="B61" s="41"/>
      <c r="C61" s="41"/>
      <c r="D61" s="41"/>
      <c r="E61" s="41"/>
      <c r="F61" s="41"/>
      <c r="G61" s="41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1"/>
      <c r="X61" s="41"/>
      <c r="Y61" s="41"/>
      <c r="Z61" s="41"/>
    </row>
    <row r="62" ht="15.75" customHeight="1">
      <c r="A62" s="43"/>
      <c r="B62" s="41"/>
      <c r="C62" s="41"/>
      <c r="D62" s="41"/>
      <c r="E62" s="41"/>
      <c r="F62" s="41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1"/>
      <c r="X62" s="41"/>
      <c r="Y62" s="41"/>
      <c r="Z62" s="41"/>
    </row>
    <row r="63" ht="15.75" customHeight="1">
      <c r="A63" s="43"/>
      <c r="B63" s="41"/>
      <c r="C63" s="41"/>
      <c r="D63" s="41"/>
      <c r="E63" s="41"/>
      <c r="F63" s="41"/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1"/>
      <c r="X63" s="41"/>
      <c r="Y63" s="41"/>
      <c r="Z63" s="41"/>
    </row>
    <row r="64" ht="15.75" customHeight="1">
      <c r="A64" s="43"/>
      <c r="B64" s="41"/>
      <c r="C64" s="41"/>
      <c r="D64" s="41"/>
      <c r="E64" s="41"/>
      <c r="F64" s="41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1"/>
      <c r="X64" s="41"/>
      <c r="Y64" s="41"/>
      <c r="Z64" s="41"/>
    </row>
    <row r="65" ht="15.75" customHeight="1">
      <c r="A65" s="43"/>
      <c r="B65" s="41"/>
      <c r="C65" s="41"/>
      <c r="D65" s="41"/>
      <c r="E65" s="41"/>
      <c r="F65" s="41"/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1"/>
      <c r="X65" s="41"/>
      <c r="Y65" s="41"/>
      <c r="Z65" s="41"/>
    </row>
    <row r="66" ht="15.75" customHeight="1">
      <c r="A66" s="43"/>
      <c r="B66" s="41"/>
      <c r="C66" s="41"/>
      <c r="D66" s="41"/>
      <c r="E66" s="4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1"/>
      <c r="X66" s="41"/>
      <c r="Y66" s="41"/>
      <c r="Z66" s="41"/>
    </row>
    <row r="67" ht="15.75" customHeight="1">
      <c r="A67" s="43"/>
      <c r="B67" s="41"/>
      <c r="C67" s="41"/>
      <c r="D67" s="41"/>
      <c r="E67" s="41"/>
      <c r="F67" s="41"/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1"/>
      <c r="X67" s="41"/>
      <c r="Y67" s="41"/>
      <c r="Z67" s="41"/>
    </row>
    <row r="68" ht="15.75" customHeight="1">
      <c r="A68" s="43"/>
      <c r="B68" s="41"/>
      <c r="C68" s="41"/>
      <c r="D68" s="41"/>
      <c r="E68" s="41"/>
      <c r="F68" s="41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1"/>
      <c r="X68" s="41"/>
      <c r="Y68" s="41"/>
      <c r="Z68" s="41"/>
    </row>
    <row r="69" ht="15.75" customHeight="1">
      <c r="A69" s="43"/>
      <c r="B69" s="41"/>
      <c r="C69" s="41"/>
      <c r="D69" s="41"/>
      <c r="E69" s="41"/>
      <c r="F69" s="41"/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1"/>
      <c r="X69" s="41"/>
      <c r="Y69" s="41"/>
      <c r="Z69" s="41"/>
    </row>
    <row r="70" ht="15.75" customHeight="1">
      <c r="A70" s="43"/>
      <c r="B70" s="41"/>
      <c r="C70" s="41"/>
      <c r="D70" s="41"/>
      <c r="E70" s="41"/>
      <c r="F70" s="41"/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1"/>
      <c r="X70" s="41"/>
      <c r="Y70" s="41"/>
      <c r="Z70" s="41"/>
    </row>
    <row r="71" ht="15.75" customHeight="1">
      <c r="A71" s="43"/>
      <c r="B71" s="41"/>
      <c r="C71" s="41"/>
      <c r="D71" s="41"/>
      <c r="E71" s="41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1"/>
      <c r="X71" s="41"/>
      <c r="Y71" s="41"/>
      <c r="Z71" s="41"/>
    </row>
    <row r="72" ht="15.75" customHeight="1">
      <c r="A72" s="43"/>
      <c r="B72" s="41"/>
      <c r="C72" s="41"/>
      <c r="D72" s="41"/>
      <c r="E72" s="41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1"/>
      <c r="X72" s="41"/>
      <c r="Y72" s="41"/>
      <c r="Z72" s="41"/>
    </row>
    <row r="73" ht="15.75" customHeight="1">
      <c r="A73" s="43"/>
      <c r="B73" s="41"/>
      <c r="C73" s="41"/>
      <c r="D73" s="41"/>
      <c r="E73" s="41"/>
      <c r="F73" s="41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1"/>
      <c r="X73" s="41"/>
      <c r="Y73" s="41"/>
      <c r="Z73" s="41"/>
    </row>
    <row r="74" ht="15.75" customHeight="1">
      <c r="A74" s="43"/>
      <c r="B74" s="41"/>
      <c r="C74" s="41"/>
      <c r="D74" s="41"/>
      <c r="E74" s="41"/>
      <c r="F74" s="41"/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1"/>
      <c r="X74" s="41"/>
      <c r="Y74" s="41"/>
      <c r="Z74" s="41"/>
    </row>
    <row r="75" ht="15.75" customHeight="1">
      <c r="A75" s="43"/>
      <c r="B75" s="41"/>
      <c r="C75" s="41"/>
      <c r="D75" s="41"/>
      <c r="E75" s="41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1"/>
      <c r="X75" s="41"/>
      <c r="Y75" s="41"/>
      <c r="Z75" s="41"/>
    </row>
    <row r="76" ht="15.75" customHeight="1">
      <c r="A76" s="43"/>
      <c r="B76" s="41"/>
      <c r="C76" s="41"/>
      <c r="D76" s="41"/>
      <c r="E76" s="41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1"/>
      <c r="X76" s="41"/>
      <c r="Y76" s="41"/>
      <c r="Z76" s="41"/>
    </row>
    <row r="77" ht="15.75" customHeight="1">
      <c r="A77" s="43"/>
      <c r="B77" s="41"/>
      <c r="C77" s="41"/>
      <c r="D77" s="41"/>
      <c r="E77" s="41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1"/>
      <c r="X77" s="41"/>
      <c r="Y77" s="41"/>
      <c r="Z77" s="41"/>
    </row>
    <row r="78" ht="15.75" customHeight="1">
      <c r="A78" s="43"/>
      <c r="B78" s="41"/>
      <c r="C78" s="41"/>
      <c r="D78" s="41"/>
      <c r="E78" s="41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1"/>
      <c r="X78" s="41"/>
      <c r="Y78" s="41"/>
      <c r="Z78" s="41"/>
    </row>
    <row r="79" ht="15.75" customHeight="1">
      <c r="A79" s="43"/>
      <c r="B79" s="41"/>
      <c r="C79" s="41"/>
      <c r="D79" s="41"/>
      <c r="E79" s="41"/>
      <c r="F79" s="4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1"/>
      <c r="X79" s="41"/>
      <c r="Y79" s="41"/>
      <c r="Z79" s="41"/>
    </row>
    <row r="80" ht="15.75" customHeight="1">
      <c r="A80" s="43"/>
      <c r="B80" s="41"/>
      <c r="C80" s="41"/>
      <c r="D80" s="41"/>
      <c r="E80" s="4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1"/>
      <c r="X80" s="41"/>
      <c r="Y80" s="41"/>
      <c r="Z80" s="41"/>
    </row>
    <row r="81" ht="15.75" customHeight="1">
      <c r="A81" s="43"/>
      <c r="B81" s="41"/>
      <c r="C81" s="41"/>
      <c r="D81" s="41"/>
      <c r="E81" s="41"/>
      <c r="F81" s="41"/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1"/>
      <c r="X81" s="41"/>
      <c r="Y81" s="41"/>
      <c r="Z81" s="41"/>
    </row>
    <row r="82" ht="15.75" customHeight="1">
      <c r="A82" s="43"/>
      <c r="B82" s="41"/>
      <c r="C82" s="41"/>
      <c r="D82" s="41"/>
      <c r="E82" s="4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1"/>
      <c r="X82" s="41"/>
      <c r="Y82" s="41"/>
      <c r="Z82" s="41"/>
    </row>
    <row r="83" ht="15.75" customHeight="1">
      <c r="A83" s="43"/>
      <c r="B83" s="41"/>
      <c r="C83" s="41"/>
      <c r="D83" s="41"/>
      <c r="E83" s="4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1"/>
      <c r="X83" s="41"/>
      <c r="Y83" s="41"/>
      <c r="Z83" s="41"/>
    </row>
    <row r="84" ht="15.75" customHeight="1">
      <c r="A84" s="43"/>
      <c r="B84" s="41"/>
      <c r="C84" s="41"/>
      <c r="D84" s="41"/>
      <c r="E84" s="4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1"/>
      <c r="X84" s="41"/>
      <c r="Y84" s="41"/>
      <c r="Z84" s="41"/>
    </row>
    <row r="85" ht="15.75" customHeight="1">
      <c r="A85" s="43"/>
      <c r="B85" s="41"/>
      <c r="C85" s="41"/>
      <c r="D85" s="41"/>
      <c r="E85" s="41"/>
      <c r="F85" s="41"/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1"/>
      <c r="X85" s="41"/>
      <c r="Y85" s="41"/>
      <c r="Z85" s="41"/>
    </row>
    <row r="86" ht="15.75" customHeight="1">
      <c r="A86" s="43"/>
      <c r="B86" s="41"/>
      <c r="C86" s="41"/>
      <c r="D86" s="41"/>
      <c r="E86" s="41"/>
      <c r="F86" s="41"/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1"/>
      <c r="X86" s="41"/>
      <c r="Y86" s="41"/>
      <c r="Z86" s="41"/>
    </row>
    <row r="87" ht="15.75" customHeight="1">
      <c r="A87" s="43"/>
      <c r="B87" s="41"/>
      <c r="C87" s="41"/>
      <c r="D87" s="41"/>
      <c r="E87" s="41"/>
      <c r="F87" s="4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1"/>
      <c r="X87" s="41"/>
      <c r="Y87" s="41"/>
      <c r="Z87" s="41"/>
    </row>
    <row r="88" ht="15.75" customHeight="1">
      <c r="A88" s="43"/>
      <c r="B88" s="41"/>
      <c r="C88" s="41"/>
      <c r="D88" s="41"/>
      <c r="E88" s="41"/>
      <c r="F88" s="41"/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1"/>
      <c r="X88" s="41"/>
      <c r="Y88" s="41"/>
      <c r="Z88" s="41"/>
    </row>
    <row r="89" ht="15.75" customHeight="1">
      <c r="A89" s="43"/>
      <c r="B89" s="41"/>
      <c r="C89" s="41"/>
      <c r="D89" s="41"/>
      <c r="E89" s="4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1"/>
      <c r="X89" s="41"/>
      <c r="Y89" s="41"/>
      <c r="Z89" s="41"/>
    </row>
    <row r="90" ht="15.75" customHeight="1">
      <c r="A90" s="43"/>
      <c r="B90" s="41"/>
      <c r="C90" s="41"/>
      <c r="D90" s="41"/>
      <c r="E90" s="41"/>
      <c r="F90" s="41"/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1"/>
      <c r="X90" s="41"/>
      <c r="Y90" s="41"/>
      <c r="Z90" s="41"/>
    </row>
    <row r="91" ht="15.75" customHeight="1">
      <c r="A91" s="43"/>
      <c r="B91" s="41"/>
      <c r="C91" s="41"/>
      <c r="D91" s="41"/>
      <c r="E91" s="41"/>
      <c r="F91" s="41"/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1"/>
      <c r="X91" s="41"/>
      <c r="Y91" s="41"/>
      <c r="Z91" s="41"/>
    </row>
    <row r="92" ht="15.75" customHeight="1">
      <c r="A92" s="43"/>
      <c r="B92" s="41"/>
      <c r="C92" s="41"/>
      <c r="D92" s="41"/>
      <c r="E92" s="41"/>
      <c r="F92" s="41"/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1"/>
      <c r="X92" s="41"/>
      <c r="Y92" s="41"/>
      <c r="Z92" s="41"/>
    </row>
    <row r="93" ht="15.75" customHeight="1">
      <c r="A93" s="43"/>
      <c r="B93" s="41"/>
      <c r="C93" s="41"/>
      <c r="D93" s="41"/>
      <c r="E93" s="41"/>
      <c r="F93" s="41"/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1"/>
      <c r="X93" s="41"/>
      <c r="Y93" s="41"/>
      <c r="Z93" s="41"/>
    </row>
    <row r="94" ht="15.75" customHeight="1">
      <c r="A94" s="43"/>
      <c r="B94" s="41"/>
      <c r="C94" s="41"/>
      <c r="D94" s="41"/>
      <c r="E94" s="41"/>
      <c r="F94" s="41"/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1"/>
      <c r="X94" s="41"/>
      <c r="Y94" s="41"/>
      <c r="Z94" s="41"/>
    </row>
    <row r="95" ht="15.75" customHeight="1">
      <c r="A95" s="43"/>
      <c r="B95" s="41"/>
      <c r="C95" s="41"/>
      <c r="D95" s="41"/>
      <c r="E95" s="41"/>
      <c r="F95" s="41"/>
      <c r="G95" s="41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1"/>
      <c r="X95" s="41"/>
      <c r="Y95" s="41"/>
      <c r="Z95" s="41"/>
    </row>
    <row r="96" ht="15.75" customHeight="1">
      <c r="A96" s="43"/>
      <c r="B96" s="41"/>
      <c r="C96" s="41"/>
      <c r="D96" s="41"/>
      <c r="E96" s="41"/>
      <c r="F96" s="41"/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1"/>
      <c r="X96" s="41"/>
      <c r="Y96" s="41"/>
      <c r="Z96" s="41"/>
    </row>
    <row r="97" ht="15.75" customHeight="1">
      <c r="A97" s="43"/>
      <c r="B97" s="41"/>
      <c r="C97" s="41"/>
      <c r="D97" s="41"/>
      <c r="E97" s="41"/>
      <c r="F97" s="41"/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1"/>
      <c r="X97" s="41"/>
      <c r="Y97" s="41"/>
      <c r="Z97" s="41"/>
    </row>
    <row r="98" ht="15.75" customHeight="1">
      <c r="A98" s="43"/>
      <c r="B98" s="41"/>
      <c r="C98" s="41"/>
      <c r="D98" s="41"/>
      <c r="E98" s="41"/>
      <c r="F98" s="41"/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1"/>
      <c r="X98" s="41"/>
      <c r="Y98" s="41"/>
      <c r="Z98" s="41"/>
    </row>
    <row r="99" ht="15.75" customHeight="1">
      <c r="A99" s="43"/>
      <c r="B99" s="41"/>
      <c r="C99" s="41"/>
      <c r="D99" s="41"/>
      <c r="E99" s="41"/>
      <c r="F99" s="41"/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1"/>
      <c r="X99" s="41"/>
      <c r="Y99" s="41"/>
      <c r="Z99" s="41"/>
    </row>
    <row r="100" ht="15.75" customHeight="1">
      <c r="A100" s="43"/>
      <c r="B100" s="41"/>
      <c r="C100" s="41"/>
      <c r="D100" s="41"/>
      <c r="E100" s="41"/>
      <c r="F100" s="41"/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1"/>
      <c r="X100" s="41"/>
      <c r="Y100" s="41"/>
      <c r="Z100" s="41"/>
    </row>
    <row r="101" ht="15.75" customHeight="1">
      <c r="A101" s="43"/>
      <c r="B101" s="41"/>
      <c r="C101" s="41"/>
      <c r="D101" s="41"/>
      <c r="E101" s="41"/>
      <c r="F101" s="41"/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1"/>
      <c r="X101" s="41"/>
      <c r="Y101" s="41"/>
      <c r="Z101" s="41"/>
    </row>
    <row r="102" ht="15.75" customHeight="1">
      <c r="A102" s="43"/>
      <c r="B102" s="41"/>
      <c r="C102" s="41"/>
      <c r="D102" s="41"/>
      <c r="E102" s="41"/>
      <c r="F102" s="41"/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1"/>
      <c r="X102" s="41"/>
      <c r="Y102" s="41"/>
      <c r="Z102" s="41"/>
    </row>
    <row r="103" ht="15.75" customHeight="1">
      <c r="A103" s="43"/>
      <c r="B103" s="41"/>
      <c r="C103" s="41"/>
      <c r="D103" s="41"/>
      <c r="E103" s="41"/>
      <c r="F103" s="41"/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1"/>
      <c r="X103" s="41"/>
      <c r="Y103" s="41"/>
      <c r="Z103" s="41"/>
    </row>
    <row r="104" ht="15.75" customHeight="1">
      <c r="A104" s="43"/>
      <c r="B104" s="41"/>
      <c r="C104" s="41"/>
      <c r="D104" s="41"/>
      <c r="E104" s="41"/>
      <c r="F104" s="41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1"/>
      <c r="X104" s="41"/>
      <c r="Y104" s="41"/>
      <c r="Z104" s="41"/>
    </row>
    <row r="105" ht="15.75" customHeight="1">
      <c r="A105" s="43"/>
      <c r="B105" s="41"/>
      <c r="C105" s="41"/>
      <c r="D105" s="41"/>
      <c r="E105" s="41"/>
      <c r="F105" s="41"/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1"/>
      <c r="X105" s="41"/>
      <c r="Y105" s="41"/>
      <c r="Z105" s="41"/>
    </row>
    <row r="106" ht="15.75" customHeight="1">
      <c r="A106" s="43"/>
      <c r="B106" s="41"/>
      <c r="C106" s="41"/>
      <c r="D106" s="41"/>
      <c r="E106" s="41"/>
      <c r="F106" s="41"/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1"/>
      <c r="X106" s="41"/>
      <c r="Y106" s="41"/>
      <c r="Z106" s="41"/>
    </row>
    <row r="107" ht="15.75" customHeight="1">
      <c r="A107" s="43"/>
      <c r="B107" s="41"/>
      <c r="C107" s="41"/>
      <c r="D107" s="41"/>
      <c r="E107" s="41"/>
      <c r="F107" s="41"/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1"/>
      <c r="X107" s="41"/>
      <c r="Y107" s="41"/>
      <c r="Z107" s="41"/>
    </row>
    <row r="108" ht="15.75" customHeight="1">
      <c r="A108" s="43"/>
      <c r="B108" s="41"/>
      <c r="C108" s="41"/>
      <c r="D108" s="41"/>
      <c r="E108" s="41"/>
      <c r="F108" s="41"/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1"/>
      <c r="X108" s="41"/>
      <c r="Y108" s="41"/>
      <c r="Z108" s="41"/>
    </row>
    <row r="109" ht="15.75" customHeight="1">
      <c r="A109" s="43"/>
      <c r="B109" s="41"/>
      <c r="C109" s="41"/>
      <c r="D109" s="41"/>
      <c r="E109" s="41"/>
      <c r="F109" s="41"/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1"/>
      <c r="X109" s="41"/>
      <c r="Y109" s="41"/>
      <c r="Z109" s="41"/>
    </row>
    <row r="110" ht="15.75" customHeight="1">
      <c r="A110" s="43"/>
      <c r="B110" s="41"/>
      <c r="C110" s="41"/>
      <c r="D110" s="41"/>
      <c r="E110" s="41"/>
      <c r="F110" s="41"/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1"/>
      <c r="X110" s="41"/>
      <c r="Y110" s="41"/>
      <c r="Z110" s="41"/>
    </row>
    <row r="111" ht="15.75" customHeight="1">
      <c r="A111" s="43"/>
      <c r="B111" s="41"/>
      <c r="C111" s="41"/>
      <c r="D111" s="41"/>
      <c r="E111" s="41"/>
      <c r="F111" s="41"/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1"/>
      <c r="X111" s="41"/>
      <c r="Y111" s="41"/>
      <c r="Z111" s="41"/>
    </row>
    <row r="112" ht="15.75" customHeight="1">
      <c r="A112" s="43"/>
      <c r="B112" s="41"/>
      <c r="C112" s="41"/>
      <c r="D112" s="41"/>
      <c r="E112" s="41"/>
      <c r="F112" s="41"/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1"/>
      <c r="X112" s="41"/>
      <c r="Y112" s="41"/>
      <c r="Z112" s="41"/>
    </row>
    <row r="113" ht="15.75" customHeight="1">
      <c r="A113" s="43"/>
      <c r="B113" s="41"/>
      <c r="C113" s="41"/>
      <c r="D113" s="41"/>
      <c r="E113" s="41"/>
      <c r="F113" s="41"/>
      <c r="G113" s="41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1"/>
      <c r="X113" s="41"/>
      <c r="Y113" s="41"/>
      <c r="Z113" s="41"/>
    </row>
    <row r="114" ht="15.75" customHeight="1">
      <c r="A114" s="43"/>
      <c r="B114" s="41"/>
      <c r="C114" s="41"/>
      <c r="D114" s="41"/>
      <c r="E114" s="41"/>
      <c r="F114" s="41"/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1"/>
      <c r="X114" s="41"/>
      <c r="Y114" s="41"/>
      <c r="Z114" s="41"/>
    </row>
    <row r="115" ht="15.75" customHeight="1">
      <c r="A115" s="43"/>
      <c r="B115" s="41"/>
      <c r="C115" s="41"/>
      <c r="D115" s="41"/>
      <c r="E115" s="41"/>
      <c r="F115" s="41"/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1"/>
      <c r="X115" s="41"/>
      <c r="Y115" s="41"/>
      <c r="Z115" s="41"/>
    </row>
    <row r="116" ht="15.75" customHeight="1">
      <c r="A116" s="43"/>
      <c r="B116" s="41"/>
      <c r="C116" s="41"/>
      <c r="D116" s="41"/>
      <c r="E116" s="41"/>
      <c r="F116" s="41"/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1"/>
      <c r="X116" s="41"/>
      <c r="Y116" s="41"/>
      <c r="Z116" s="41"/>
    </row>
    <row r="117" ht="15.75" customHeight="1">
      <c r="A117" s="43"/>
      <c r="B117" s="41"/>
      <c r="C117" s="41"/>
      <c r="D117" s="41"/>
      <c r="E117" s="41"/>
      <c r="F117" s="41"/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1"/>
      <c r="X117" s="41"/>
      <c r="Y117" s="41"/>
      <c r="Z117" s="41"/>
    </row>
    <row r="118" ht="15.75" customHeight="1">
      <c r="A118" s="43"/>
      <c r="B118" s="41"/>
      <c r="C118" s="41"/>
      <c r="D118" s="41"/>
      <c r="E118" s="41"/>
      <c r="F118" s="41"/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1"/>
      <c r="X118" s="41"/>
      <c r="Y118" s="41"/>
      <c r="Z118" s="41"/>
    </row>
    <row r="119" ht="15.75" customHeight="1">
      <c r="A119" s="43"/>
      <c r="B119" s="41"/>
      <c r="C119" s="41"/>
      <c r="D119" s="41"/>
      <c r="E119" s="41"/>
      <c r="F119" s="41"/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1"/>
      <c r="X119" s="41"/>
      <c r="Y119" s="41"/>
      <c r="Z119" s="41"/>
    </row>
    <row r="120" ht="15.75" customHeight="1">
      <c r="A120" s="43"/>
      <c r="B120" s="41"/>
      <c r="C120" s="41"/>
      <c r="D120" s="41"/>
      <c r="E120" s="41"/>
      <c r="F120" s="41"/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1"/>
      <c r="X120" s="41"/>
      <c r="Y120" s="41"/>
      <c r="Z120" s="41"/>
    </row>
    <row r="121" ht="15.75" customHeight="1">
      <c r="A121" s="43"/>
      <c r="B121" s="41"/>
      <c r="C121" s="41"/>
      <c r="D121" s="41"/>
      <c r="E121" s="41"/>
      <c r="F121" s="41"/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1"/>
      <c r="X121" s="41"/>
      <c r="Y121" s="41"/>
      <c r="Z121" s="41"/>
    </row>
    <row r="122" ht="15.75" customHeight="1">
      <c r="A122" s="43"/>
      <c r="B122" s="41"/>
      <c r="C122" s="41"/>
      <c r="D122" s="41"/>
      <c r="E122" s="41"/>
      <c r="F122" s="41"/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1"/>
      <c r="X122" s="41"/>
      <c r="Y122" s="41"/>
      <c r="Z122" s="41"/>
    </row>
    <row r="123" ht="15.75" customHeight="1">
      <c r="A123" s="43"/>
      <c r="B123" s="41"/>
      <c r="C123" s="41"/>
      <c r="D123" s="41"/>
      <c r="E123" s="41"/>
      <c r="F123" s="41"/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1"/>
      <c r="X123" s="41"/>
      <c r="Y123" s="41"/>
      <c r="Z123" s="41"/>
    </row>
    <row r="124" ht="15.75" customHeight="1">
      <c r="A124" s="43"/>
      <c r="B124" s="41"/>
      <c r="C124" s="41"/>
      <c r="D124" s="41"/>
      <c r="E124" s="41"/>
      <c r="F124" s="41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1"/>
      <c r="X124" s="41"/>
      <c r="Y124" s="41"/>
      <c r="Z124" s="41"/>
    </row>
    <row r="125" ht="15.75" customHeight="1">
      <c r="A125" s="43"/>
      <c r="B125" s="41"/>
      <c r="C125" s="41"/>
      <c r="D125" s="41"/>
      <c r="E125" s="41"/>
      <c r="F125" s="41"/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1"/>
      <c r="X125" s="41"/>
      <c r="Y125" s="41"/>
      <c r="Z125" s="41"/>
    </row>
    <row r="126" ht="15.75" customHeight="1">
      <c r="A126" s="43"/>
      <c r="B126" s="41"/>
      <c r="C126" s="41"/>
      <c r="D126" s="41"/>
      <c r="E126" s="41"/>
      <c r="F126" s="41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1"/>
      <c r="X126" s="41"/>
      <c r="Y126" s="41"/>
      <c r="Z126" s="41"/>
    </row>
    <row r="127" ht="15.75" customHeight="1">
      <c r="A127" s="43"/>
      <c r="B127" s="41"/>
      <c r="C127" s="41"/>
      <c r="D127" s="41"/>
      <c r="E127" s="41"/>
      <c r="F127" s="41"/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1"/>
      <c r="X127" s="41"/>
      <c r="Y127" s="41"/>
      <c r="Z127" s="41"/>
    </row>
    <row r="128" ht="15.75" customHeight="1">
      <c r="A128" s="43"/>
      <c r="B128" s="41"/>
      <c r="C128" s="41"/>
      <c r="D128" s="41"/>
      <c r="E128" s="41"/>
      <c r="F128" s="41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1"/>
      <c r="X128" s="41"/>
      <c r="Y128" s="41"/>
      <c r="Z128" s="41"/>
    </row>
    <row r="129" ht="15.75" customHeight="1">
      <c r="A129" s="43"/>
      <c r="B129" s="41"/>
      <c r="C129" s="41"/>
      <c r="D129" s="41"/>
      <c r="E129" s="41"/>
      <c r="F129" s="4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1"/>
      <c r="X129" s="41"/>
      <c r="Y129" s="41"/>
      <c r="Z129" s="41"/>
    </row>
    <row r="130" ht="15.75" customHeight="1">
      <c r="A130" s="43"/>
      <c r="B130" s="41"/>
      <c r="C130" s="41"/>
      <c r="D130" s="41"/>
      <c r="E130" s="41"/>
      <c r="F130" s="41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1"/>
      <c r="X130" s="41"/>
      <c r="Y130" s="41"/>
      <c r="Z130" s="41"/>
    </row>
    <row r="131" ht="15.75" customHeight="1">
      <c r="A131" s="43"/>
      <c r="B131" s="41"/>
      <c r="C131" s="41"/>
      <c r="D131" s="41"/>
      <c r="E131" s="41"/>
      <c r="F131" s="41"/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1"/>
      <c r="X131" s="41"/>
      <c r="Y131" s="41"/>
      <c r="Z131" s="41"/>
    </row>
    <row r="132" ht="15.75" customHeight="1">
      <c r="A132" s="43"/>
      <c r="B132" s="41"/>
      <c r="C132" s="41"/>
      <c r="D132" s="41"/>
      <c r="E132" s="41"/>
      <c r="F132" s="41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1"/>
      <c r="X132" s="41"/>
      <c r="Y132" s="41"/>
      <c r="Z132" s="41"/>
    </row>
    <row r="133" ht="15.75" customHeight="1">
      <c r="A133" s="43"/>
      <c r="B133" s="41"/>
      <c r="C133" s="41"/>
      <c r="D133" s="41"/>
      <c r="E133" s="41"/>
      <c r="F133" s="4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1"/>
      <c r="X133" s="41"/>
      <c r="Y133" s="41"/>
      <c r="Z133" s="41"/>
    </row>
    <row r="134" ht="15.75" customHeight="1">
      <c r="A134" s="43"/>
      <c r="B134" s="41"/>
      <c r="C134" s="41"/>
      <c r="D134" s="41"/>
      <c r="E134" s="41"/>
      <c r="F134" s="41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1"/>
      <c r="X134" s="41"/>
      <c r="Y134" s="41"/>
      <c r="Z134" s="41"/>
    </row>
    <row r="135" ht="15.75" customHeight="1">
      <c r="A135" s="43"/>
      <c r="B135" s="41"/>
      <c r="C135" s="41"/>
      <c r="D135" s="41"/>
      <c r="E135" s="41"/>
      <c r="F135" s="41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1"/>
      <c r="X135" s="41"/>
      <c r="Y135" s="41"/>
      <c r="Z135" s="41"/>
    </row>
    <row r="136" ht="15.75" customHeight="1">
      <c r="A136" s="43"/>
      <c r="B136" s="41"/>
      <c r="C136" s="41"/>
      <c r="D136" s="41"/>
      <c r="E136" s="41"/>
      <c r="F136" s="41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1"/>
      <c r="X136" s="41"/>
      <c r="Y136" s="41"/>
      <c r="Z136" s="41"/>
    </row>
    <row r="137" ht="15.75" customHeight="1">
      <c r="A137" s="43"/>
      <c r="B137" s="41"/>
      <c r="C137" s="41"/>
      <c r="D137" s="41"/>
      <c r="E137" s="41"/>
      <c r="F137" s="41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1"/>
      <c r="X137" s="41"/>
      <c r="Y137" s="41"/>
      <c r="Z137" s="41"/>
    </row>
    <row r="138" ht="15.75" customHeight="1">
      <c r="A138" s="43"/>
      <c r="B138" s="41"/>
      <c r="C138" s="41"/>
      <c r="D138" s="41"/>
      <c r="E138" s="41"/>
      <c r="F138" s="41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1"/>
      <c r="X138" s="41"/>
      <c r="Y138" s="41"/>
      <c r="Z138" s="41"/>
    </row>
    <row r="139" ht="15.75" customHeight="1">
      <c r="A139" s="43"/>
      <c r="B139" s="41"/>
      <c r="C139" s="41"/>
      <c r="D139" s="41"/>
      <c r="E139" s="41"/>
      <c r="F139" s="41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1"/>
      <c r="X139" s="41"/>
      <c r="Y139" s="41"/>
      <c r="Z139" s="41"/>
    </row>
    <row r="140" ht="15.75" customHeight="1">
      <c r="A140" s="43"/>
      <c r="B140" s="41"/>
      <c r="C140" s="41"/>
      <c r="D140" s="41"/>
      <c r="E140" s="41"/>
      <c r="F140" s="41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1"/>
      <c r="X140" s="41"/>
      <c r="Y140" s="41"/>
      <c r="Z140" s="41"/>
    </row>
    <row r="141" ht="15.75" customHeight="1">
      <c r="A141" s="43"/>
      <c r="B141" s="41"/>
      <c r="C141" s="41"/>
      <c r="D141" s="41"/>
      <c r="E141" s="41"/>
      <c r="F141" s="41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1"/>
      <c r="X141" s="41"/>
      <c r="Y141" s="41"/>
      <c r="Z141" s="41"/>
    </row>
    <row r="142" ht="15.75" customHeight="1">
      <c r="A142" s="43"/>
      <c r="B142" s="41"/>
      <c r="C142" s="41"/>
      <c r="D142" s="41"/>
      <c r="E142" s="4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1"/>
      <c r="X142" s="41"/>
      <c r="Y142" s="41"/>
      <c r="Z142" s="41"/>
    </row>
    <row r="143" ht="15.75" customHeight="1">
      <c r="A143" s="43"/>
      <c r="B143" s="41"/>
      <c r="C143" s="41"/>
      <c r="D143" s="41"/>
      <c r="E143" s="41"/>
      <c r="F143" s="41"/>
      <c r="G143" s="41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1"/>
      <c r="X143" s="41"/>
      <c r="Y143" s="41"/>
      <c r="Z143" s="41"/>
    </row>
    <row r="144" ht="15.75" customHeight="1">
      <c r="A144" s="43"/>
      <c r="B144" s="41"/>
      <c r="C144" s="41"/>
      <c r="D144" s="41"/>
      <c r="E144" s="41"/>
      <c r="F144" s="4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1"/>
      <c r="X144" s="41"/>
      <c r="Y144" s="41"/>
      <c r="Z144" s="41"/>
    </row>
    <row r="145" ht="15.75" customHeight="1">
      <c r="A145" s="43"/>
      <c r="B145" s="41"/>
      <c r="C145" s="41"/>
      <c r="D145" s="41"/>
      <c r="E145" s="41"/>
      <c r="F145" s="41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1"/>
      <c r="X145" s="41"/>
      <c r="Y145" s="41"/>
      <c r="Z145" s="41"/>
    </row>
    <row r="146" ht="15.75" customHeight="1">
      <c r="A146" s="43"/>
      <c r="B146" s="41"/>
      <c r="C146" s="41"/>
      <c r="D146" s="41"/>
      <c r="E146" s="41"/>
      <c r="F146" s="41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1"/>
      <c r="X146" s="41"/>
      <c r="Y146" s="41"/>
      <c r="Z146" s="41"/>
    </row>
    <row r="147" ht="15.75" customHeight="1">
      <c r="A147" s="43"/>
      <c r="B147" s="41"/>
      <c r="C147" s="41"/>
      <c r="D147" s="41"/>
      <c r="E147" s="41"/>
      <c r="F147" s="41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1"/>
      <c r="X147" s="41"/>
      <c r="Y147" s="41"/>
      <c r="Z147" s="41"/>
    </row>
    <row r="148" ht="15.75" customHeight="1">
      <c r="A148" s="43"/>
      <c r="B148" s="41"/>
      <c r="C148" s="41"/>
      <c r="D148" s="41"/>
      <c r="E148" s="41"/>
      <c r="F148" s="41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1"/>
      <c r="X148" s="41"/>
      <c r="Y148" s="41"/>
      <c r="Z148" s="41"/>
    </row>
    <row r="149" ht="15.75" customHeight="1">
      <c r="A149" s="43"/>
      <c r="B149" s="41"/>
      <c r="C149" s="41"/>
      <c r="D149" s="41"/>
      <c r="E149" s="41"/>
      <c r="F149" s="41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1"/>
      <c r="X149" s="41"/>
      <c r="Y149" s="41"/>
      <c r="Z149" s="41"/>
    </row>
    <row r="150" ht="15.75" customHeight="1">
      <c r="A150" s="43"/>
      <c r="B150" s="41"/>
      <c r="C150" s="41"/>
      <c r="D150" s="41"/>
      <c r="E150" s="41"/>
      <c r="F150" s="41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1"/>
      <c r="X150" s="41"/>
      <c r="Y150" s="41"/>
      <c r="Z150" s="41"/>
    </row>
    <row r="151" ht="15.75" customHeight="1">
      <c r="A151" s="43"/>
      <c r="B151" s="41"/>
      <c r="C151" s="41"/>
      <c r="D151" s="41"/>
      <c r="E151" s="41"/>
      <c r="F151" s="41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1"/>
      <c r="X151" s="41"/>
      <c r="Y151" s="41"/>
      <c r="Z151" s="41"/>
    </row>
    <row r="152" ht="15.75" customHeight="1">
      <c r="A152" s="43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1"/>
      <c r="X152" s="41"/>
      <c r="Y152" s="41"/>
      <c r="Z152" s="41"/>
    </row>
    <row r="153" ht="15.75" customHeight="1">
      <c r="A153" s="43"/>
      <c r="B153" s="41"/>
      <c r="C153" s="41"/>
      <c r="D153" s="41"/>
      <c r="E153" s="41"/>
      <c r="F153" s="41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1"/>
      <c r="X153" s="41"/>
      <c r="Y153" s="41"/>
      <c r="Z153" s="41"/>
    </row>
    <row r="154" ht="15.75" customHeight="1">
      <c r="A154" s="43"/>
      <c r="B154" s="41"/>
      <c r="C154" s="41"/>
      <c r="D154" s="41"/>
      <c r="E154" s="41"/>
      <c r="F154" s="41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1"/>
      <c r="X154" s="41"/>
      <c r="Y154" s="41"/>
      <c r="Z154" s="41"/>
    </row>
    <row r="155" ht="15.75" customHeight="1">
      <c r="A155" s="43"/>
      <c r="B155" s="41"/>
      <c r="C155" s="41"/>
      <c r="D155" s="41"/>
      <c r="E155" s="41"/>
      <c r="F155" s="41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1"/>
      <c r="X155" s="41"/>
      <c r="Y155" s="41"/>
      <c r="Z155" s="41"/>
    </row>
    <row r="156" ht="15.75" customHeight="1">
      <c r="A156" s="43"/>
      <c r="B156" s="41"/>
      <c r="C156" s="41"/>
      <c r="D156" s="41"/>
      <c r="E156" s="41"/>
      <c r="F156" s="41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1"/>
      <c r="X156" s="41"/>
      <c r="Y156" s="41"/>
      <c r="Z156" s="41"/>
    </row>
    <row r="157" ht="15.75" customHeight="1">
      <c r="A157" s="43"/>
      <c r="B157" s="41"/>
      <c r="C157" s="41"/>
      <c r="D157" s="41"/>
      <c r="E157" s="41"/>
      <c r="F157" s="41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1"/>
      <c r="X157" s="41"/>
      <c r="Y157" s="41"/>
      <c r="Z157" s="41"/>
    </row>
    <row r="158" ht="15.75" customHeight="1">
      <c r="A158" s="43"/>
      <c r="B158" s="41"/>
      <c r="C158" s="41"/>
      <c r="D158" s="41"/>
      <c r="E158" s="41"/>
      <c r="F158" s="41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1"/>
      <c r="X158" s="41"/>
      <c r="Y158" s="41"/>
      <c r="Z158" s="41"/>
    </row>
    <row r="159" ht="15.75" customHeight="1">
      <c r="A159" s="43"/>
      <c r="B159" s="41"/>
      <c r="C159" s="41"/>
      <c r="D159" s="41"/>
      <c r="E159" s="41"/>
      <c r="F159" s="41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1"/>
      <c r="X159" s="41"/>
      <c r="Y159" s="41"/>
      <c r="Z159" s="41"/>
    </row>
    <row r="160" ht="15.75" customHeight="1">
      <c r="A160" s="43"/>
      <c r="B160" s="41"/>
      <c r="C160" s="41"/>
      <c r="D160" s="41"/>
      <c r="E160" s="41"/>
      <c r="F160" s="41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1"/>
      <c r="X160" s="41"/>
      <c r="Y160" s="41"/>
      <c r="Z160" s="41"/>
    </row>
    <row r="161" ht="15.75" customHeight="1">
      <c r="A161" s="43"/>
      <c r="B161" s="41"/>
      <c r="C161" s="41"/>
      <c r="D161" s="41"/>
      <c r="E161" s="41"/>
      <c r="F161" s="41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1"/>
      <c r="X161" s="41"/>
      <c r="Y161" s="41"/>
      <c r="Z161" s="41"/>
    </row>
    <row r="162" ht="15.75" customHeight="1">
      <c r="A162" s="43"/>
      <c r="B162" s="41"/>
      <c r="C162" s="41"/>
      <c r="D162" s="41"/>
      <c r="E162" s="41"/>
      <c r="F162" s="41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1"/>
      <c r="X162" s="41"/>
      <c r="Y162" s="41"/>
      <c r="Z162" s="41"/>
    </row>
    <row r="163" ht="15.75" customHeight="1">
      <c r="A163" s="43"/>
      <c r="B163" s="41"/>
      <c r="C163" s="41"/>
      <c r="D163" s="41"/>
      <c r="E163" s="41"/>
      <c r="F163" s="41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1"/>
      <c r="X163" s="41"/>
      <c r="Y163" s="41"/>
      <c r="Z163" s="41"/>
    </row>
    <row r="164" ht="15.75" customHeight="1">
      <c r="A164" s="43"/>
      <c r="B164" s="41"/>
      <c r="C164" s="41"/>
      <c r="D164" s="41"/>
      <c r="E164" s="41"/>
      <c r="F164" s="41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1"/>
      <c r="X164" s="41"/>
      <c r="Y164" s="41"/>
      <c r="Z164" s="41"/>
    </row>
    <row r="165" ht="15.75" customHeight="1">
      <c r="A165" s="43"/>
      <c r="B165" s="41"/>
      <c r="C165" s="41"/>
      <c r="D165" s="41"/>
      <c r="E165" s="41"/>
      <c r="F165" s="41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1"/>
      <c r="X165" s="41"/>
      <c r="Y165" s="41"/>
      <c r="Z165" s="41"/>
    </row>
    <row r="166" ht="15.75" customHeight="1">
      <c r="A166" s="43"/>
      <c r="B166" s="41"/>
      <c r="C166" s="41"/>
      <c r="D166" s="41"/>
      <c r="E166" s="41"/>
      <c r="F166" s="41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1"/>
      <c r="X166" s="41"/>
      <c r="Y166" s="41"/>
      <c r="Z166" s="41"/>
    </row>
    <row r="167" ht="15.75" customHeight="1">
      <c r="A167" s="43"/>
      <c r="B167" s="41"/>
      <c r="C167" s="41"/>
      <c r="D167" s="41"/>
      <c r="E167" s="41"/>
      <c r="F167" s="41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1"/>
      <c r="X167" s="41"/>
      <c r="Y167" s="41"/>
      <c r="Z167" s="41"/>
    </row>
    <row r="168" ht="15.75" customHeight="1">
      <c r="A168" s="43"/>
      <c r="B168" s="41"/>
      <c r="C168" s="41"/>
      <c r="D168" s="41"/>
      <c r="E168" s="41"/>
      <c r="F168" s="41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1"/>
      <c r="X168" s="41"/>
      <c r="Y168" s="41"/>
      <c r="Z168" s="41"/>
    </row>
    <row r="169" ht="15.75" customHeight="1">
      <c r="A169" s="43"/>
      <c r="B169" s="41"/>
      <c r="C169" s="41"/>
      <c r="D169" s="41"/>
      <c r="E169" s="41"/>
      <c r="F169" s="41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1"/>
      <c r="X169" s="41"/>
      <c r="Y169" s="41"/>
      <c r="Z169" s="41"/>
    </row>
    <row r="170" ht="15.75" customHeight="1">
      <c r="A170" s="43"/>
      <c r="B170" s="41"/>
      <c r="C170" s="41"/>
      <c r="D170" s="41"/>
      <c r="E170" s="41"/>
      <c r="F170" s="41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1"/>
      <c r="X170" s="41"/>
      <c r="Y170" s="41"/>
      <c r="Z170" s="41"/>
    </row>
    <row r="171" ht="15.75" customHeight="1">
      <c r="A171" s="43"/>
      <c r="B171" s="41"/>
      <c r="C171" s="41"/>
      <c r="D171" s="41"/>
      <c r="E171" s="41"/>
      <c r="F171" s="41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1"/>
      <c r="X171" s="41"/>
      <c r="Y171" s="41"/>
      <c r="Z171" s="41"/>
    </row>
    <row r="172" ht="15.75" customHeight="1">
      <c r="A172" s="43"/>
      <c r="B172" s="41"/>
      <c r="C172" s="41"/>
      <c r="D172" s="41"/>
      <c r="E172" s="41"/>
      <c r="F172" s="41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1"/>
      <c r="X172" s="41"/>
      <c r="Y172" s="41"/>
      <c r="Z172" s="41"/>
    </row>
    <row r="173" ht="15.75" customHeight="1">
      <c r="A173" s="43"/>
      <c r="B173" s="41"/>
      <c r="C173" s="41"/>
      <c r="D173" s="41"/>
      <c r="E173" s="41"/>
      <c r="F173" s="41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1"/>
      <c r="X173" s="41"/>
      <c r="Y173" s="41"/>
      <c r="Z173" s="41"/>
    </row>
    <row r="174" ht="15.75" customHeight="1">
      <c r="A174" s="43"/>
      <c r="B174" s="41"/>
      <c r="C174" s="41"/>
      <c r="D174" s="41"/>
      <c r="E174" s="41"/>
      <c r="F174" s="41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1"/>
      <c r="X174" s="41"/>
      <c r="Y174" s="41"/>
      <c r="Z174" s="41"/>
    </row>
    <row r="175" ht="15.75" customHeight="1">
      <c r="A175" s="43"/>
      <c r="B175" s="41"/>
      <c r="C175" s="41"/>
      <c r="D175" s="41"/>
      <c r="E175" s="41"/>
      <c r="F175" s="41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1"/>
      <c r="X175" s="41"/>
      <c r="Y175" s="41"/>
      <c r="Z175" s="41"/>
    </row>
    <row r="176" ht="15.75" customHeight="1">
      <c r="A176" s="43"/>
      <c r="B176" s="41"/>
      <c r="C176" s="41"/>
      <c r="D176" s="41"/>
      <c r="E176" s="41"/>
      <c r="F176" s="41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1"/>
      <c r="X176" s="41"/>
      <c r="Y176" s="41"/>
      <c r="Z176" s="41"/>
    </row>
    <row r="177" ht="15.75" customHeight="1">
      <c r="A177" s="43"/>
      <c r="B177" s="41"/>
      <c r="C177" s="41"/>
      <c r="D177" s="41"/>
      <c r="E177" s="41"/>
      <c r="F177" s="41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1"/>
      <c r="X177" s="41"/>
      <c r="Y177" s="41"/>
      <c r="Z177" s="41"/>
    </row>
    <row r="178" ht="15.75" customHeight="1">
      <c r="A178" s="43"/>
      <c r="B178" s="41"/>
      <c r="C178" s="41"/>
      <c r="D178" s="41"/>
      <c r="E178" s="41"/>
      <c r="F178" s="41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1"/>
      <c r="X178" s="41"/>
      <c r="Y178" s="41"/>
      <c r="Z178" s="41"/>
    </row>
    <row r="179" ht="15.75" customHeight="1">
      <c r="A179" s="43"/>
      <c r="B179" s="41"/>
      <c r="C179" s="41"/>
      <c r="D179" s="41"/>
      <c r="E179" s="41"/>
      <c r="F179" s="41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1"/>
      <c r="X179" s="41"/>
      <c r="Y179" s="41"/>
      <c r="Z179" s="41"/>
    </row>
    <row r="180" ht="15.75" customHeight="1">
      <c r="A180" s="43"/>
      <c r="B180" s="41"/>
      <c r="C180" s="41"/>
      <c r="D180" s="41"/>
      <c r="E180" s="41"/>
      <c r="F180" s="41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1"/>
      <c r="X180" s="41"/>
      <c r="Y180" s="41"/>
      <c r="Z180" s="41"/>
    </row>
    <row r="181" ht="15.75" customHeight="1">
      <c r="A181" s="43"/>
      <c r="B181" s="41"/>
      <c r="C181" s="41"/>
      <c r="D181" s="41"/>
      <c r="E181" s="41"/>
      <c r="F181" s="41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1"/>
      <c r="X181" s="41"/>
      <c r="Y181" s="41"/>
      <c r="Z181" s="41"/>
    </row>
    <row r="182" ht="15.75" customHeight="1">
      <c r="A182" s="43"/>
      <c r="B182" s="41"/>
      <c r="C182" s="41"/>
      <c r="D182" s="41"/>
      <c r="E182" s="41"/>
      <c r="F182" s="41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1"/>
      <c r="X182" s="41"/>
      <c r="Y182" s="41"/>
      <c r="Z182" s="41"/>
    </row>
    <row r="183" ht="15.75" customHeight="1">
      <c r="A183" s="43"/>
      <c r="B183" s="41"/>
      <c r="C183" s="41"/>
      <c r="D183" s="41"/>
      <c r="E183" s="41"/>
      <c r="F183" s="41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1"/>
      <c r="X183" s="41"/>
      <c r="Y183" s="41"/>
      <c r="Z183" s="41"/>
    </row>
    <row r="184" ht="15.75" customHeight="1">
      <c r="A184" s="43"/>
      <c r="B184" s="41"/>
      <c r="C184" s="41"/>
      <c r="D184" s="41"/>
      <c r="E184" s="41"/>
      <c r="F184" s="41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1"/>
      <c r="X184" s="41"/>
      <c r="Y184" s="41"/>
      <c r="Z184" s="41"/>
    </row>
    <row r="185" ht="15.75" customHeight="1">
      <c r="A185" s="43"/>
      <c r="B185" s="41"/>
      <c r="C185" s="41"/>
      <c r="D185" s="41"/>
      <c r="E185" s="41"/>
      <c r="F185" s="41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1"/>
      <c r="X185" s="41"/>
      <c r="Y185" s="41"/>
      <c r="Z185" s="41"/>
    </row>
    <row r="186" ht="15.75" customHeight="1">
      <c r="A186" s="43"/>
      <c r="B186" s="41"/>
      <c r="C186" s="41"/>
      <c r="D186" s="41"/>
      <c r="E186" s="41"/>
      <c r="F186" s="41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1"/>
      <c r="X186" s="41"/>
      <c r="Y186" s="41"/>
      <c r="Z186" s="41"/>
    </row>
    <row r="187" ht="15.75" customHeight="1">
      <c r="A187" s="43"/>
      <c r="B187" s="41"/>
      <c r="C187" s="41"/>
      <c r="D187" s="41"/>
      <c r="E187" s="41"/>
      <c r="F187" s="41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1"/>
      <c r="X187" s="41"/>
      <c r="Y187" s="41"/>
      <c r="Z187" s="41"/>
    </row>
    <row r="188" ht="15.75" customHeight="1">
      <c r="A188" s="43"/>
      <c r="B188" s="41"/>
      <c r="C188" s="41"/>
      <c r="D188" s="41"/>
      <c r="E188" s="41"/>
      <c r="F188" s="41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1"/>
      <c r="X188" s="41"/>
      <c r="Y188" s="41"/>
      <c r="Z188" s="41"/>
    </row>
    <row r="189" ht="15.75" customHeight="1">
      <c r="A189" s="43"/>
      <c r="B189" s="41"/>
      <c r="C189" s="41"/>
      <c r="D189" s="41"/>
      <c r="E189" s="41"/>
      <c r="F189" s="41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1"/>
      <c r="X189" s="41"/>
      <c r="Y189" s="41"/>
      <c r="Z189" s="41"/>
    </row>
    <row r="190" ht="15.75" customHeight="1">
      <c r="A190" s="43"/>
      <c r="B190" s="41"/>
      <c r="C190" s="41"/>
      <c r="D190" s="41"/>
      <c r="E190" s="41"/>
      <c r="F190" s="41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1"/>
      <c r="X190" s="41"/>
      <c r="Y190" s="41"/>
      <c r="Z190" s="41"/>
    </row>
    <row r="191" ht="15.75" customHeight="1">
      <c r="A191" s="43"/>
      <c r="B191" s="41"/>
      <c r="C191" s="41"/>
      <c r="D191" s="41"/>
      <c r="E191" s="41"/>
      <c r="F191" s="41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1"/>
      <c r="X191" s="41"/>
      <c r="Y191" s="41"/>
      <c r="Z191" s="41"/>
    </row>
    <row r="192" ht="15.75" customHeight="1">
      <c r="A192" s="43"/>
      <c r="B192" s="41"/>
      <c r="C192" s="41"/>
      <c r="D192" s="41"/>
      <c r="E192" s="41"/>
      <c r="F192" s="41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1"/>
      <c r="X192" s="41"/>
      <c r="Y192" s="41"/>
      <c r="Z192" s="41"/>
    </row>
    <row r="193" ht="15.75" customHeight="1">
      <c r="A193" s="43"/>
      <c r="B193" s="41"/>
      <c r="C193" s="41"/>
      <c r="D193" s="41"/>
      <c r="E193" s="41"/>
      <c r="F193" s="41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1"/>
      <c r="X193" s="41"/>
      <c r="Y193" s="41"/>
      <c r="Z193" s="41"/>
    </row>
    <row r="194" ht="15.75" customHeight="1">
      <c r="A194" s="43"/>
      <c r="B194" s="41"/>
      <c r="C194" s="41"/>
      <c r="D194" s="41"/>
      <c r="E194" s="41"/>
      <c r="F194" s="41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1"/>
      <c r="X194" s="41"/>
      <c r="Y194" s="41"/>
      <c r="Z194" s="41"/>
    </row>
    <row r="195" ht="15.75" customHeight="1">
      <c r="A195" s="43"/>
      <c r="B195" s="41"/>
      <c r="C195" s="41"/>
      <c r="D195" s="41"/>
      <c r="E195" s="41"/>
      <c r="F195" s="41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1"/>
      <c r="X195" s="41"/>
      <c r="Y195" s="41"/>
      <c r="Z195" s="41"/>
    </row>
    <row r="196" ht="15.75" customHeight="1">
      <c r="A196" s="43"/>
      <c r="B196" s="41"/>
      <c r="C196" s="41"/>
      <c r="D196" s="41"/>
      <c r="E196" s="41"/>
      <c r="F196" s="41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1"/>
      <c r="X196" s="41"/>
      <c r="Y196" s="41"/>
      <c r="Z196" s="41"/>
    </row>
    <row r="197" ht="15.75" customHeight="1">
      <c r="A197" s="43"/>
      <c r="B197" s="41"/>
      <c r="C197" s="41"/>
      <c r="D197" s="41"/>
      <c r="E197" s="41"/>
      <c r="F197" s="41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1"/>
      <c r="X197" s="41"/>
      <c r="Y197" s="41"/>
      <c r="Z197" s="41"/>
    </row>
    <row r="198" ht="15.75" customHeight="1">
      <c r="A198" s="43"/>
      <c r="B198" s="41"/>
      <c r="C198" s="41"/>
      <c r="D198" s="41"/>
      <c r="E198" s="41"/>
      <c r="F198" s="41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1"/>
      <c r="X198" s="41"/>
      <c r="Y198" s="41"/>
      <c r="Z198" s="41"/>
    </row>
    <row r="199" ht="15.75" customHeight="1">
      <c r="A199" s="43"/>
      <c r="B199" s="41"/>
      <c r="C199" s="41"/>
      <c r="D199" s="41"/>
      <c r="E199" s="41"/>
      <c r="F199" s="41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1"/>
      <c r="X199" s="41"/>
      <c r="Y199" s="41"/>
      <c r="Z199" s="41"/>
    </row>
    <row r="200" ht="15.75" customHeight="1">
      <c r="A200" s="43"/>
      <c r="B200" s="41"/>
      <c r="C200" s="41"/>
      <c r="D200" s="41"/>
      <c r="E200" s="41"/>
      <c r="F200" s="41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1"/>
      <c r="X200" s="41"/>
      <c r="Y200" s="41"/>
      <c r="Z200" s="41"/>
    </row>
    <row r="201" ht="15.75" customHeight="1">
      <c r="A201" s="43"/>
      <c r="B201" s="41"/>
      <c r="C201" s="41"/>
      <c r="D201" s="41"/>
      <c r="E201" s="41"/>
      <c r="F201" s="41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1"/>
      <c r="X201" s="41"/>
      <c r="Y201" s="41"/>
      <c r="Z201" s="41"/>
    </row>
    <row r="202" ht="15.75" customHeight="1">
      <c r="A202" s="43"/>
      <c r="B202" s="41"/>
      <c r="C202" s="41"/>
      <c r="D202" s="41"/>
      <c r="E202" s="41"/>
      <c r="F202" s="41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1"/>
      <c r="X202" s="41"/>
      <c r="Y202" s="41"/>
      <c r="Z202" s="41"/>
    </row>
    <row r="203" ht="15.75" customHeight="1">
      <c r="A203" s="43"/>
      <c r="B203" s="41"/>
      <c r="C203" s="41"/>
      <c r="D203" s="41"/>
      <c r="E203" s="41"/>
      <c r="F203" s="41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1"/>
      <c r="X203" s="41"/>
      <c r="Y203" s="41"/>
      <c r="Z203" s="41"/>
    </row>
    <row r="204" ht="15.75" customHeight="1">
      <c r="A204" s="43"/>
      <c r="B204" s="41"/>
      <c r="C204" s="41"/>
      <c r="D204" s="41"/>
      <c r="E204" s="41"/>
      <c r="F204" s="41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1"/>
      <c r="X204" s="41"/>
      <c r="Y204" s="41"/>
      <c r="Z204" s="41"/>
    </row>
    <row r="205" ht="15.75" customHeight="1">
      <c r="A205" s="43"/>
      <c r="B205" s="41"/>
      <c r="C205" s="41"/>
      <c r="D205" s="41"/>
      <c r="E205" s="41"/>
      <c r="F205" s="41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1"/>
      <c r="X205" s="41"/>
      <c r="Y205" s="41"/>
      <c r="Z205" s="41"/>
    </row>
    <row r="206" ht="15.75" customHeight="1">
      <c r="A206" s="43"/>
      <c r="B206" s="41"/>
      <c r="C206" s="41"/>
      <c r="D206" s="41"/>
      <c r="E206" s="41"/>
      <c r="F206" s="41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1"/>
      <c r="X206" s="41"/>
      <c r="Y206" s="41"/>
      <c r="Z206" s="41"/>
    </row>
    <row r="207" ht="15.75" customHeight="1">
      <c r="A207" s="43"/>
      <c r="B207" s="41"/>
      <c r="C207" s="41"/>
      <c r="D207" s="41"/>
      <c r="E207" s="41"/>
      <c r="F207" s="41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1"/>
      <c r="X207" s="41"/>
      <c r="Y207" s="41"/>
      <c r="Z207" s="41"/>
    </row>
    <row r="208" ht="15.75" customHeight="1">
      <c r="A208" s="43"/>
      <c r="B208" s="41"/>
      <c r="C208" s="41"/>
      <c r="D208" s="41"/>
      <c r="E208" s="41"/>
      <c r="F208" s="41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1"/>
      <c r="X208" s="41"/>
      <c r="Y208" s="41"/>
      <c r="Z208" s="41"/>
    </row>
    <row r="209" ht="15.75" customHeight="1">
      <c r="A209" s="43"/>
      <c r="B209" s="41"/>
      <c r="C209" s="41"/>
      <c r="D209" s="41"/>
      <c r="E209" s="41"/>
      <c r="F209" s="41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1"/>
      <c r="X209" s="41"/>
      <c r="Y209" s="41"/>
      <c r="Z209" s="41"/>
    </row>
    <row r="210" ht="15.75" customHeight="1">
      <c r="A210" s="43"/>
      <c r="B210" s="41"/>
      <c r="C210" s="41"/>
      <c r="D210" s="41"/>
      <c r="E210" s="41"/>
      <c r="F210" s="41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1"/>
      <c r="X210" s="41"/>
      <c r="Y210" s="41"/>
      <c r="Z210" s="41"/>
    </row>
    <row r="211" ht="15.75" customHeight="1">
      <c r="A211" s="43"/>
      <c r="B211" s="41"/>
      <c r="C211" s="41"/>
      <c r="D211" s="41"/>
      <c r="E211" s="41"/>
      <c r="F211" s="41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1"/>
      <c r="X211" s="41"/>
      <c r="Y211" s="41"/>
      <c r="Z211" s="41"/>
    </row>
    <row r="212" ht="15.75" customHeight="1">
      <c r="A212" s="43"/>
      <c r="B212" s="41"/>
      <c r="C212" s="41"/>
      <c r="D212" s="41"/>
      <c r="E212" s="41"/>
      <c r="F212" s="41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1"/>
      <c r="X212" s="41"/>
      <c r="Y212" s="41"/>
      <c r="Z212" s="41"/>
    </row>
    <row r="213" ht="15.75" customHeight="1">
      <c r="A213" s="43"/>
      <c r="B213" s="41"/>
      <c r="C213" s="41"/>
      <c r="D213" s="41"/>
      <c r="E213" s="41"/>
      <c r="F213" s="41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1"/>
      <c r="X213" s="41"/>
      <c r="Y213" s="41"/>
      <c r="Z213" s="4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24">
    <mergeCell ref="D10:D12"/>
    <mergeCell ref="E10:E12"/>
    <mergeCell ref="H2:I2"/>
    <mergeCell ref="J2:K2"/>
    <mergeCell ref="L2:M2"/>
    <mergeCell ref="N2:N3"/>
    <mergeCell ref="A10:A12"/>
    <mergeCell ref="B10:B12"/>
    <mergeCell ref="C10:C12"/>
    <mergeCell ref="H10:L10"/>
    <mergeCell ref="H11:J11"/>
    <mergeCell ref="M11:O11"/>
    <mergeCell ref="P11:P12"/>
    <mergeCell ref="Q11:Q12"/>
    <mergeCell ref="R11:T11"/>
    <mergeCell ref="U11:U12"/>
    <mergeCell ref="F10:F12"/>
    <mergeCell ref="G10:G12"/>
    <mergeCell ref="M10:Q10"/>
    <mergeCell ref="R10:V10"/>
    <mergeCell ref="W10:W12"/>
    <mergeCell ref="K11:K12"/>
    <mergeCell ref="L11:L12"/>
    <mergeCell ref="V11:V12"/>
  </mergeCells>
  <dataValidations>
    <dataValidation type="list" allowBlank="1" showErrorMessage="1" sqref="H13:I28 M13:N28 R13:S28">
      <formula1>"Passed,Failed,Blocked,Not Run"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78"/>
    <col customWidth="1" min="3" max="3" width="13.89"/>
    <col customWidth="1" min="4" max="5" width="22.33"/>
    <col customWidth="1" min="6" max="7" width="33.44"/>
    <col customWidth="1" min="8" max="9" width="16.44"/>
    <col customWidth="1" min="10" max="10" width="17.33"/>
    <col customWidth="1" min="11" max="11" width="21.11"/>
    <col customWidth="1" min="12" max="12" width="13.11"/>
    <col customWidth="1" min="13" max="14" width="16.44"/>
    <col customWidth="1" min="15" max="15" width="17.33"/>
    <col customWidth="1" min="16" max="16" width="24.67"/>
    <col customWidth="1" min="17" max="17" width="13.67"/>
    <col customWidth="1" min="18" max="19" width="16.44"/>
    <col customWidth="1" min="20" max="20" width="17.33"/>
    <col customWidth="1" min="21" max="21" width="23.44"/>
    <col customWidth="1" min="22" max="22" width="13.33"/>
    <col customWidth="1" min="23" max="23" width="24.0"/>
    <col customWidth="1" min="24" max="26" width="10.56"/>
  </cols>
  <sheetData>
    <row r="1" ht="15.75" customHeight="1">
      <c r="A1" s="25" t="s">
        <v>61</v>
      </c>
      <c r="B1" s="15"/>
      <c r="C1" s="15"/>
      <c r="D1" s="15"/>
      <c r="E1" s="15"/>
      <c r="F1" s="15"/>
      <c r="G1" s="15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15"/>
      <c r="X1" s="15"/>
      <c r="Y1" s="15"/>
      <c r="Z1" s="15"/>
    </row>
    <row r="2" ht="15.75" customHeight="1">
      <c r="A2" s="42"/>
      <c r="B2" s="15"/>
      <c r="C2" s="15"/>
      <c r="D2" s="15"/>
      <c r="E2" s="15"/>
      <c r="F2" s="15"/>
      <c r="G2" s="15"/>
      <c r="H2" s="29" t="s">
        <v>45</v>
      </c>
      <c r="I2" s="6"/>
      <c r="J2" s="29" t="s">
        <v>46</v>
      </c>
      <c r="K2" s="6"/>
      <c r="L2" s="29" t="s">
        <v>47</v>
      </c>
      <c r="M2" s="6"/>
      <c r="N2" s="28" t="s">
        <v>62</v>
      </c>
      <c r="O2" s="42"/>
      <c r="P2" s="42"/>
      <c r="Q2" s="42"/>
      <c r="R2" s="42"/>
      <c r="S2" s="42"/>
      <c r="T2" s="42"/>
      <c r="U2" s="42"/>
      <c r="V2" s="42"/>
      <c r="W2" s="15"/>
      <c r="X2" s="15"/>
      <c r="Y2" s="15"/>
      <c r="Z2" s="15"/>
    </row>
    <row r="3" ht="15.75" customHeight="1">
      <c r="A3" s="13" t="s">
        <v>24</v>
      </c>
      <c r="B3" s="13" t="s">
        <v>63</v>
      </c>
      <c r="C3" s="15"/>
      <c r="D3" s="13" t="s">
        <v>64</v>
      </c>
      <c r="E3" s="13" t="s">
        <v>65</v>
      </c>
      <c r="F3" s="15"/>
      <c r="G3" s="44"/>
      <c r="H3" s="13" t="s">
        <v>283</v>
      </c>
      <c r="I3" s="13" t="s">
        <v>284</v>
      </c>
      <c r="J3" s="13" t="s">
        <v>283</v>
      </c>
      <c r="K3" s="13" t="s">
        <v>284</v>
      </c>
      <c r="L3" s="13" t="s">
        <v>283</v>
      </c>
      <c r="M3" s="13" t="s">
        <v>284</v>
      </c>
      <c r="N3" s="34"/>
      <c r="O3" s="42"/>
      <c r="P3" s="42"/>
      <c r="Q3" s="42"/>
      <c r="R3" s="42"/>
      <c r="S3" s="42"/>
      <c r="T3" s="42"/>
      <c r="U3" s="42"/>
      <c r="V3" s="42"/>
      <c r="W3" s="15"/>
      <c r="X3" s="15"/>
      <c r="Y3" s="15"/>
      <c r="Z3" s="15"/>
    </row>
    <row r="4" ht="15.75" customHeight="1">
      <c r="A4" s="21" t="s">
        <v>14</v>
      </c>
      <c r="B4" s="18" t="s">
        <v>32</v>
      </c>
      <c r="C4" s="15"/>
      <c r="D4" s="21" t="s">
        <v>285</v>
      </c>
      <c r="E4" s="35" t="s">
        <v>286</v>
      </c>
      <c r="F4" s="15"/>
      <c r="G4" s="13" t="s">
        <v>68</v>
      </c>
      <c r="H4" s="48">
        <f t="shared" ref="H4:I4" si="1">COUNTIF(H13:H213,"PASSED")</f>
        <v>23</v>
      </c>
      <c r="I4" s="48">
        <f t="shared" si="1"/>
        <v>23</v>
      </c>
      <c r="J4" s="48">
        <f t="shared" ref="J4:K4" si="2">COUNTIF(M13:M213,"PASSED")</f>
        <v>27</v>
      </c>
      <c r="K4" s="48">
        <f t="shared" si="2"/>
        <v>27</v>
      </c>
      <c r="L4" s="48">
        <f t="shared" ref="L4:M4" si="3">COUNTIF(R13:R213,"PASSED")</f>
        <v>28</v>
      </c>
      <c r="M4" s="48">
        <f t="shared" si="3"/>
        <v>28</v>
      </c>
      <c r="N4" s="48">
        <f t="shared" ref="N4:N8" si="7">SUM(H4:M4)</f>
        <v>156</v>
      </c>
      <c r="O4" s="42"/>
      <c r="P4" s="42"/>
      <c r="Q4" s="42"/>
      <c r="R4" s="42"/>
      <c r="S4" s="42"/>
      <c r="T4" s="42"/>
      <c r="U4" s="42"/>
      <c r="V4" s="42"/>
      <c r="W4" s="15"/>
      <c r="X4" s="15"/>
      <c r="Y4" s="15"/>
      <c r="Z4" s="15"/>
    </row>
    <row r="5" ht="15.75" customHeight="1">
      <c r="A5" s="16"/>
      <c r="B5" s="16"/>
      <c r="C5" s="15"/>
      <c r="D5" s="16"/>
      <c r="E5" s="16"/>
      <c r="F5" s="15"/>
      <c r="G5" s="13" t="s">
        <v>69</v>
      </c>
      <c r="H5" s="48">
        <f t="shared" ref="H5:I5" si="4">COUNTIF(H13:H223,"FAILED")</f>
        <v>5</v>
      </c>
      <c r="I5" s="48">
        <f t="shared" si="4"/>
        <v>5</v>
      </c>
      <c r="J5" s="48">
        <f t="shared" ref="J5:K5" si="5">COUNTIF(M14:M214,"FAILED")</f>
        <v>1</v>
      </c>
      <c r="K5" s="48">
        <f t="shared" si="5"/>
        <v>1</v>
      </c>
      <c r="L5" s="48">
        <f t="shared" ref="L5:M5" si="6">COUNTIF(R14:R214,"FAILED")</f>
        <v>0</v>
      </c>
      <c r="M5" s="48">
        <f t="shared" si="6"/>
        <v>0</v>
      </c>
      <c r="N5" s="48">
        <f t="shared" si="7"/>
        <v>12</v>
      </c>
      <c r="O5" s="42"/>
      <c r="P5" s="42"/>
      <c r="Q5" s="42"/>
      <c r="R5" s="42"/>
      <c r="S5" s="42"/>
      <c r="T5" s="42"/>
      <c r="U5" s="42"/>
      <c r="V5" s="42"/>
      <c r="W5" s="15"/>
      <c r="X5" s="15"/>
      <c r="Y5" s="15"/>
      <c r="Z5" s="15"/>
    </row>
    <row r="6" ht="15.75" customHeight="1">
      <c r="A6" s="16"/>
      <c r="B6" s="16"/>
      <c r="C6" s="15"/>
      <c r="D6" s="16"/>
      <c r="E6" s="16"/>
      <c r="F6" s="15"/>
      <c r="G6" s="13" t="s">
        <v>70</v>
      </c>
      <c r="H6" s="48">
        <f t="shared" ref="H6:I6" si="8">COUNTIF(H13:H233,"BLOCKED")</f>
        <v>0</v>
      </c>
      <c r="I6" s="48">
        <f t="shared" si="8"/>
        <v>0</v>
      </c>
      <c r="J6" s="48">
        <f t="shared" ref="J6:K6" si="9">COUNTIF(M15:M215,"BLOCKED")</f>
        <v>0</v>
      </c>
      <c r="K6" s="48">
        <f t="shared" si="9"/>
        <v>0</v>
      </c>
      <c r="L6" s="48">
        <f t="shared" ref="L6:M6" si="10">COUNTIF(R15:R215,"BLOCKED")</f>
        <v>0</v>
      </c>
      <c r="M6" s="48">
        <f t="shared" si="10"/>
        <v>0</v>
      </c>
      <c r="N6" s="48">
        <f t="shared" si="7"/>
        <v>0</v>
      </c>
      <c r="O6" s="42"/>
      <c r="P6" s="42"/>
      <c r="Q6" s="42"/>
      <c r="R6" s="42"/>
      <c r="S6" s="42"/>
      <c r="T6" s="42"/>
      <c r="U6" s="42"/>
      <c r="V6" s="42"/>
      <c r="W6" s="15"/>
      <c r="X6" s="15"/>
      <c r="Y6" s="15"/>
      <c r="Z6" s="15"/>
    </row>
    <row r="7" ht="15.75" customHeight="1">
      <c r="A7" s="16"/>
      <c r="B7" s="16"/>
      <c r="C7" s="15"/>
      <c r="D7" s="16"/>
      <c r="E7" s="16"/>
      <c r="F7" s="15"/>
      <c r="G7" s="13" t="s">
        <v>71</v>
      </c>
      <c r="H7" s="48">
        <f t="shared" ref="H7:I7" si="11">COUNTIF(H13:H243,"NOT RUN")</f>
        <v>0</v>
      </c>
      <c r="I7" s="48">
        <f t="shared" si="11"/>
        <v>0</v>
      </c>
      <c r="J7" s="48">
        <f t="shared" ref="J7:K7" si="12">COUNTIF(M16:M216,"NOT RUN")</f>
        <v>0</v>
      </c>
      <c r="K7" s="48">
        <f t="shared" si="12"/>
        <v>0</v>
      </c>
      <c r="L7" s="48">
        <f t="shared" ref="L7:M7" si="13">COUNTIF(R16:R216,"NOT RUN")</f>
        <v>0</v>
      </c>
      <c r="M7" s="48">
        <f t="shared" si="13"/>
        <v>0</v>
      </c>
      <c r="N7" s="48">
        <f t="shared" si="7"/>
        <v>0</v>
      </c>
      <c r="O7" s="42"/>
      <c r="P7" s="42"/>
      <c r="Q7" s="42"/>
      <c r="R7" s="42"/>
      <c r="S7" s="42"/>
      <c r="T7" s="42"/>
      <c r="U7" s="42"/>
      <c r="V7" s="42"/>
      <c r="W7" s="15"/>
      <c r="X7" s="15"/>
      <c r="Y7" s="15"/>
      <c r="Z7" s="15"/>
    </row>
    <row r="8" ht="15.75" customHeight="1">
      <c r="A8" s="16"/>
      <c r="B8" s="16"/>
      <c r="C8" s="15"/>
      <c r="D8" s="16"/>
      <c r="E8" s="16"/>
      <c r="F8" s="15"/>
      <c r="G8" s="13" t="s">
        <v>72</v>
      </c>
      <c r="H8" s="48">
        <f t="shared" ref="H8:M8" si="14">COUNTA($G13:$G225)</f>
        <v>28</v>
      </c>
      <c r="I8" s="48">
        <f t="shared" si="14"/>
        <v>28</v>
      </c>
      <c r="J8" s="48">
        <f t="shared" si="14"/>
        <v>28</v>
      </c>
      <c r="K8" s="48">
        <f t="shared" si="14"/>
        <v>28</v>
      </c>
      <c r="L8" s="48">
        <f t="shared" si="14"/>
        <v>28</v>
      </c>
      <c r="M8" s="48">
        <f t="shared" si="14"/>
        <v>28</v>
      </c>
      <c r="N8" s="48">
        <f t="shared" si="7"/>
        <v>168</v>
      </c>
      <c r="O8" s="42"/>
      <c r="P8" s="42"/>
      <c r="Q8" s="42"/>
      <c r="R8" s="42"/>
      <c r="S8" s="42"/>
      <c r="T8" s="42"/>
      <c r="U8" s="42"/>
      <c r="V8" s="42"/>
      <c r="W8" s="15"/>
      <c r="X8" s="15"/>
      <c r="Y8" s="15"/>
      <c r="Z8" s="15"/>
    </row>
    <row r="9" ht="15.75" customHeight="1">
      <c r="A9" s="42"/>
      <c r="B9" s="15"/>
      <c r="C9" s="15"/>
      <c r="D9" s="15"/>
      <c r="E9" s="15"/>
      <c r="F9" s="15"/>
      <c r="G9" s="15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15"/>
      <c r="X9" s="15"/>
      <c r="Y9" s="15"/>
      <c r="Z9" s="15"/>
    </row>
    <row r="10" ht="15.75" customHeight="1">
      <c r="A10" s="28" t="s">
        <v>20</v>
      </c>
      <c r="B10" s="28" t="s">
        <v>73</v>
      </c>
      <c r="C10" s="28" t="s">
        <v>74</v>
      </c>
      <c r="D10" s="28" t="s">
        <v>75</v>
      </c>
      <c r="E10" s="28" t="s">
        <v>76</v>
      </c>
      <c r="F10" s="28" t="s">
        <v>77</v>
      </c>
      <c r="G10" s="28" t="s">
        <v>78</v>
      </c>
      <c r="H10" s="29" t="s">
        <v>45</v>
      </c>
      <c r="I10" s="30"/>
      <c r="J10" s="30"/>
      <c r="K10" s="30"/>
      <c r="L10" s="6"/>
      <c r="M10" s="29" t="s">
        <v>46</v>
      </c>
      <c r="N10" s="30"/>
      <c r="O10" s="30"/>
      <c r="P10" s="30"/>
      <c r="Q10" s="6"/>
      <c r="R10" s="29" t="s">
        <v>47</v>
      </c>
      <c r="S10" s="30"/>
      <c r="T10" s="30"/>
      <c r="U10" s="30"/>
      <c r="V10" s="6"/>
      <c r="W10" s="28" t="s">
        <v>27</v>
      </c>
      <c r="X10" s="12"/>
      <c r="Y10" s="12"/>
      <c r="Z10" s="12"/>
    </row>
    <row r="11" ht="15.75" customHeight="1">
      <c r="A11" s="32"/>
      <c r="B11" s="32"/>
      <c r="C11" s="32"/>
      <c r="D11" s="32"/>
      <c r="E11" s="32"/>
      <c r="F11" s="32"/>
      <c r="G11" s="32"/>
      <c r="H11" s="29" t="s">
        <v>79</v>
      </c>
      <c r="I11" s="30"/>
      <c r="J11" s="6"/>
      <c r="K11" s="28" t="s">
        <v>80</v>
      </c>
      <c r="L11" s="28" t="s">
        <v>81</v>
      </c>
      <c r="M11" s="29" t="s">
        <v>79</v>
      </c>
      <c r="N11" s="30"/>
      <c r="O11" s="6"/>
      <c r="P11" s="28" t="s">
        <v>80</v>
      </c>
      <c r="Q11" s="28" t="s">
        <v>81</v>
      </c>
      <c r="R11" s="29" t="s">
        <v>79</v>
      </c>
      <c r="S11" s="30"/>
      <c r="T11" s="6"/>
      <c r="U11" s="28" t="s">
        <v>80</v>
      </c>
      <c r="V11" s="28" t="s">
        <v>81</v>
      </c>
      <c r="W11" s="32"/>
      <c r="X11" s="15"/>
      <c r="Y11" s="15"/>
      <c r="Z11" s="15"/>
    </row>
    <row r="12" ht="15.75" customHeight="1">
      <c r="A12" s="34"/>
      <c r="B12" s="34"/>
      <c r="C12" s="34"/>
      <c r="D12" s="34"/>
      <c r="E12" s="34"/>
      <c r="F12" s="34"/>
      <c r="G12" s="34"/>
      <c r="H12" s="45" t="s">
        <v>48</v>
      </c>
      <c r="I12" s="45" t="s">
        <v>49</v>
      </c>
      <c r="J12" s="13" t="s">
        <v>82</v>
      </c>
      <c r="K12" s="34"/>
      <c r="L12" s="34"/>
      <c r="M12" s="45" t="s">
        <v>48</v>
      </c>
      <c r="N12" s="45" t="s">
        <v>49</v>
      </c>
      <c r="O12" s="13" t="s">
        <v>82</v>
      </c>
      <c r="P12" s="34"/>
      <c r="Q12" s="34"/>
      <c r="R12" s="45" t="s">
        <v>48</v>
      </c>
      <c r="S12" s="45" t="s">
        <v>49</v>
      </c>
      <c r="T12" s="13" t="s">
        <v>82</v>
      </c>
      <c r="U12" s="34"/>
      <c r="V12" s="34"/>
      <c r="W12" s="34"/>
      <c r="X12" s="15"/>
      <c r="Y12" s="15"/>
      <c r="Z12" s="15"/>
    </row>
    <row r="13">
      <c r="A13" s="17" t="str">
        <f t="shared" ref="A13:A40" si="15">"ID-00"&amp;(ROW()-(ROW($A$12)))</f>
        <v>ID-001</v>
      </c>
      <c r="B13" s="9" t="s">
        <v>137</v>
      </c>
      <c r="C13" s="9" t="s">
        <v>287</v>
      </c>
      <c r="D13" s="22" t="s">
        <v>288</v>
      </c>
      <c r="E13" s="22" t="s">
        <v>289</v>
      </c>
      <c r="F13" s="22" t="s">
        <v>290</v>
      </c>
      <c r="G13" s="22" t="s">
        <v>291</v>
      </c>
      <c r="H13" s="21" t="s">
        <v>50</v>
      </c>
      <c r="I13" s="21" t="s">
        <v>50</v>
      </c>
      <c r="J13" s="21" t="s">
        <v>88</v>
      </c>
      <c r="K13" s="35" t="s">
        <v>89</v>
      </c>
      <c r="L13" s="21" t="s">
        <v>292</v>
      </c>
      <c r="M13" s="21" t="s">
        <v>50</v>
      </c>
      <c r="N13" s="21" t="s">
        <v>50</v>
      </c>
      <c r="O13" s="21" t="s">
        <v>88</v>
      </c>
      <c r="P13" s="35" t="s">
        <v>210</v>
      </c>
      <c r="Q13" s="21" t="s">
        <v>292</v>
      </c>
      <c r="R13" s="21" t="s">
        <v>50</v>
      </c>
      <c r="S13" s="21" t="s">
        <v>50</v>
      </c>
      <c r="T13" s="21" t="s">
        <v>88</v>
      </c>
      <c r="U13" s="35" t="s">
        <v>293</v>
      </c>
      <c r="V13" s="21" t="s">
        <v>292</v>
      </c>
      <c r="W13" s="21" t="s">
        <v>92</v>
      </c>
      <c r="X13" s="15"/>
      <c r="Y13" s="15"/>
      <c r="Z13" s="15"/>
    </row>
    <row r="14">
      <c r="A14" s="17" t="str">
        <f t="shared" si="15"/>
        <v>ID-002</v>
      </c>
      <c r="B14" s="9" t="s">
        <v>143</v>
      </c>
      <c r="C14" s="9" t="s">
        <v>294</v>
      </c>
      <c r="D14" s="22" t="s">
        <v>295</v>
      </c>
      <c r="E14" s="22" t="s">
        <v>296</v>
      </c>
      <c r="F14" s="22" t="s">
        <v>297</v>
      </c>
      <c r="G14" s="22" t="s">
        <v>298</v>
      </c>
      <c r="H14" s="16" t="s">
        <v>51</v>
      </c>
      <c r="I14" s="16" t="s">
        <v>51</v>
      </c>
      <c r="J14" s="21" t="s">
        <v>299</v>
      </c>
      <c r="K14" s="35" t="s">
        <v>89</v>
      </c>
      <c r="L14" s="21" t="s">
        <v>292</v>
      </c>
      <c r="M14" s="21" t="s">
        <v>50</v>
      </c>
      <c r="N14" s="21" t="s">
        <v>50</v>
      </c>
      <c r="O14" s="21" t="s">
        <v>88</v>
      </c>
      <c r="P14" s="35" t="s">
        <v>210</v>
      </c>
      <c r="Q14" s="21" t="s">
        <v>292</v>
      </c>
      <c r="R14" s="21" t="s">
        <v>50</v>
      </c>
      <c r="S14" s="21" t="s">
        <v>50</v>
      </c>
      <c r="T14" s="21" t="s">
        <v>88</v>
      </c>
      <c r="U14" s="35" t="s">
        <v>293</v>
      </c>
      <c r="V14" s="21" t="s">
        <v>292</v>
      </c>
      <c r="W14" s="21" t="s">
        <v>92</v>
      </c>
      <c r="X14" s="15"/>
      <c r="Y14" s="15"/>
      <c r="Z14" s="15"/>
    </row>
    <row r="15">
      <c r="A15" s="17" t="str">
        <f t="shared" si="15"/>
        <v>ID-003</v>
      </c>
      <c r="B15" s="9" t="s">
        <v>143</v>
      </c>
      <c r="C15" s="9" t="s">
        <v>300</v>
      </c>
      <c r="D15" s="22" t="s">
        <v>295</v>
      </c>
      <c r="E15" s="22" t="s">
        <v>301</v>
      </c>
      <c r="F15" s="22" t="s">
        <v>302</v>
      </c>
      <c r="G15" s="22" t="s">
        <v>303</v>
      </c>
      <c r="H15" s="21" t="s">
        <v>51</v>
      </c>
      <c r="I15" s="16" t="s">
        <v>51</v>
      </c>
      <c r="J15" s="21" t="s">
        <v>304</v>
      </c>
      <c r="K15" s="35" t="s">
        <v>89</v>
      </c>
      <c r="L15" s="21" t="s">
        <v>292</v>
      </c>
      <c r="M15" s="21" t="s">
        <v>50</v>
      </c>
      <c r="N15" s="21" t="s">
        <v>50</v>
      </c>
      <c r="O15" s="21" t="s">
        <v>88</v>
      </c>
      <c r="P15" s="35" t="s">
        <v>210</v>
      </c>
      <c r="Q15" s="21" t="s">
        <v>292</v>
      </c>
      <c r="R15" s="21" t="s">
        <v>50</v>
      </c>
      <c r="S15" s="21" t="s">
        <v>50</v>
      </c>
      <c r="T15" s="21" t="s">
        <v>88</v>
      </c>
      <c r="U15" s="35" t="s">
        <v>293</v>
      </c>
      <c r="V15" s="21" t="s">
        <v>292</v>
      </c>
      <c r="W15" s="21" t="s">
        <v>92</v>
      </c>
      <c r="X15" s="15"/>
      <c r="Y15" s="15"/>
      <c r="Z15" s="15"/>
    </row>
    <row r="16" ht="33.0" customHeight="1">
      <c r="A16" s="17" t="str">
        <f t="shared" si="15"/>
        <v>ID-004</v>
      </c>
      <c r="B16" s="9" t="s">
        <v>143</v>
      </c>
      <c r="C16" s="9" t="s">
        <v>305</v>
      </c>
      <c r="D16" s="22" t="s">
        <v>306</v>
      </c>
      <c r="E16" s="22" t="s">
        <v>307</v>
      </c>
      <c r="F16" s="22" t="s">
        <v>308</v>
      </c>
      <c r="G16" s="22" t="s">
        <v>309</v>
      </c>
      <c r="H16" s="21" t="s">
        <v>50</v>
      </c>
      <c r="I16" s="21" t="s">
        <v>50</v>
      </c>
      <c r="J16" s="21" t="s">
        <v>88</v>
      </c>
      <c r="K16" s="35" t="s">
        <v>89</v>
      </c>
      <c r="L16" s="21" t="s">
        <v>292</v>
      </c>
      <c r="M16" s="21" t="s">
        <v>50</v>
      </c>
      <c r="N16" s="21" t="s">
        <v>50</v>
      </c>
      <c r="O16" s="21" t="s">
        <v>88</v>
      </c>
      <c r="P16" s="35" t="s">
        <v>210</v>
      </c>
      <c r="Q16" s="21" t="s">
        <v>292</v>
      </c>
      <c r="R16" s="21" t="s">
        <v>50</v>
      </c>
      <c r="S16" s="21" t="s">
        <v>50</v>
      </c>
      <c r="T16" s="21" t="s">
        <v>88</v>
      </c>
      <c r="U16" s="35" t="s">
        <v>293</v>
      </c>
      <c r="V16" s="21" t="s">
        <v>292</v>
      </c>
      <c r="W16" s="21" t="s">
        <v>92</v>
      </c>
      <c r="X16" s="15"/>
      <c r="Y16" s="15"/>
      <c r="Z16" s="15"/>
    </row>
    <row r="17">
      <c r="A17" s="17" t="str">
        <f t="shared" si="15"/>
        <v>ID-005</v>
      </c>
      <c r="B17" s="9" t="s">
        <v>143</v>
      </c>
      <c r="C17" s="9" t="s">
        <v>310</v>
      </c>
      <c r="D17" s="22" t="s">
        <v>295</v>
      </c>
      <c r="E17" s="22" t="s">
        <v>311</v>
      </c>
      <c r="F17" s="22" t="s">
        <v>312</v>
      </c>
      <c r="G17" s="22" t="s">
        <v>313</v>
      </c>
      <c r="H17" s="21" t="s">
        <v>50</v>
      </c>
      <c r="I17" s="21" t="s">
        <v>50</v>
      </c>
      <c r="J17" s="21" t="s">
        <v>88</v>
      </c>
      <c r="K17" s="35" t="s">
        <v>89</v>
      </c>
      <c r="L17" s="21" t="s">
        <v>292</v>
      </c>
      <c r="M17" s="21" t="s">
        <v>50</v>
      </c>
      <c r="N17" s="21" t="s">
        <v>50</v>
      </c>
      <c r="O17" s="21" t="s">
        <v>88</v>
      </c>
      <c r="P17" s="35" t="s">
        <v>210</v>
      </c>
      <c r="Q17" s="21" t="s">
        <v>292</v>
      </c>
      <c r="R17" s="21" t="s">
        <v>50</v>
      </c>
      <c r="S17" s="21" t="s">
        <v>50</v>
      </c>
      <c r="T17" s="21" t="s">
        <v>88</v>
      </c>
      <c r="U17" s="35" t="s">
        <v>293</v>
      </c>
      <c r="V17" s="21" t="s">
        <v>292</v>
      </c>
      <c r="W17" s="21" t="s">
        <v>92</v>
      </c>
      <c r="X17" s="15"/>
      <c r="Y17" s="15"/>
      <c r="Z17" s="15"/>
    </row>
    <row r="18">
      <c r="A18" s="17" t="str">
        <f t="shared" si="15"/>
        <v>ID-006</v>
      </c>
      <c r="B18" s="51" t="s">
        <v>137</v>
      </c>
      <c r="C18" s="51" t="s">
        <v>314</v>
      </c>
      <c r="D18" s="22" t="s">
        <v>315</v>
      </c>
      <c r="E18" s="22" t="s">
        <v>316</v>
      </c>
      <c r="F18" s="22" t="s">
        <v>317</v>
      </c>
      <c r="G18" s="22" t="s">
        <v>318</v>
      </c>
      <c r="H18" s="21" t="s">
        <v>50</v>
      </c>
      <c r="I18" s="21" t="s">
        <v>50</v>
      </c>
      <c r="J18" s="21" t="s">
        <v>88</v>
      </c>
      <c r="K18" s="35" t="s">
        <v>89</v>
      </c>
      <c r="L18" s="21" t="s">
        <v>292</v>
      </c>
      <c r="M18" s="21" t="s">
        <v>50</v>
      </c>
      <c r="N18" s="21" t="s">
        <v>50</v>
      </c>
      <c r="O18" s="21" t="s">
        <v>88</v>
      </c>
      <c r="P18" s="35" t="s">
        <v>210</v>
      </c>
      <c r="Q18" s="21" t="s">
        <v>292</v>
      </c>
      <c r="R18" s="21" t="s">
        <v>50</v>
      </c>
      <c r="S18" s="21" t="s">
        <v>50</v>
      </c>
      <c r="T18" s="21" t="s">
        <v>88</v>
      </c>
      <c r="U18" s="35" t="s">
        <v>293</v>
      </c>
      <c r="V18" s="21" t="s">
        <v>292</v>
      </c>
      <c r="W18" s="21" t="s">
        <v>92</v>
      </c>
      <c r="X18" s="15"/>
      <c r="Y18" s="15"/>
      <c r="Z18" s="15"/>
    </row>
    <row r="19">
      <c r="A19" s="17" t="str">
        <f t="shared" si="15"/>
        <v>ID-007</v>
      </c>
      <c r="B19" s="51" t="s">
        <v>143</v>
      </c>
      <c r="C19" s="51" t="s">
        <v>319</v>
      </c>
      <c r="D19" s="22" t="s">
        <v>320</v>
      </c>
      <c r="E19" s="22" t="s">
        <v>321</v>
      </c>
      <c r="F19" s="22" t="s">
        <v>322</v>
      </c>
      <c r="G19" s="22" t="s">
        <v>323</v>
      </c>
      <c r="H19" s="21" t="s">
        <v>50</v>
      </c>
      <c r="I19" s="21" t="s">
        <v>50</v>
      </c>
      <c r="J19" s="21" t="s">
        <v>88</v>
      </c>
      <c r="K19" s="35" t="s">
        <v>89</v>
      </c>
      <c r="L19" s="21" t="s">
        <v>292</v>
      </c>
      <c r="M19" s="21" t="s">
        <v>50</v>
      </c>
      <c r="N19" s="21" t="s">
        <v>50</v>
      </c>
      <c r="O19" s="21" t="s">
        <v>88</v>
      </c>
      <c r="P19" s="35" t="s">
        <v>210</v>
      </c>
      <c r="Q19" s="21" t="s">
        <v>292</v>
      </c>
      <c r="R19" s="21" t="s">
        <v>50</v>
      </c>
      <c r="S19" s="21" t="s">
        <v>50</v>
      </c>
      <c r="T19" s="21" t="s">
        <v>88</v>
      </c>
      <c r="U19" s="35" t="s">
        <v>293</v>
      </c>
      <c r="V19" s="21" t="s">
        <v>292</v>
      </c>
      <c r="W19" s="21" t="s">
        <v>92</v>
      </c>
      <c r="X19" s="15"/>
      <c r="Y19" s="15"/>
      <c r="Z19" s="15"/>
    </row>
    <row r="20">
      <c r="A20" s="17" t="str">
        <f t="shared" si="15"/>
        <v>ID-008</v>
      </c>
      <c r="B20" s="51" t="s">
        <v>143</v>
      </c>
      <c r="C20" s="51" t="s">
        <v>324</v>
      </c>
      <c r="D20" s="22" t="s">
        <v>325</v>
      </c>
      <c r="E20" s="22" t="s">
        <v>326</v>
      </c>
      <c r="F20" s="22" t="s">
        <v>327</v>
      </c>
      <c r="G20" s="22" t="s">
        <v>328</v>
      </c>
      <c r="H20" s="21" t="s">
        <v>50</v>
      </c>
      <c r="I20" s="21" t="s">
        <v>50</v>
      </c>
      <c r="J20" s="21" t="s">
        <v>88</v>
      </c>
      <c r="K20" s="35" t="s">
        <v>89</v>
      </c>
      <c r="L20" s="21" t="s">
        <v>292</v>
      </c>
      <c r="M20" s="21" t="s">
        <v>50</v>
      </c>
      <c r="N20" s="21" t="s">
        <v>50</v>
      </c>
      <c r="O20" s="21" t="s">
        <v>88</v>
      </c>
      <c r="P20" s="35" t="s">
        <v>210</v>
      </c>
      <c r="Q20" s="21" t="s">
        <v>292</v>
      </c>
      <c r="R20" s="21" t="s">
        <v>50</v>
      </c>
      <c r="S20" s="21" t="s">
        <v>50</v>
      </c>
      <c r="T20" s="21" t="s">
        <v>88</v>
      </c>
      <c r="U20" s="35" t="s">
        <v>293</v>
      </c>
      <c r="V20" s="21" t="s">
        <v>292</v>
      </c>
      <c r="W20" s="21" t="s">
        <v>92</v>
      </c>
      <c r="X20" s="15"/>
      <c r="Y20" s="15"/>
      <c r="Z20" s="15"/>
    </row>
    <row r="21">
      <c r="A21" s="17" t="str">
        <f t="shared" si="15"/>
        <v>ID-009</v>
      </c>
      <c r="B21" s="51" t="s">
        <v>143</v>
      </c>
      <c r="C21" s="51" t="s">
        <v>329</v>
      </c>
      <c r="D21" s="52" t="s">
        <v>325</v>
      </c>
      <c r="E21" s="22" t="s">
        <v>330</v>
      </c>
      <c r="F21" s="22" t="s">
        <v>331</v>
      </c>
      <c r="G21" s="22" t="s">
        <v>332</v>
      </c>
      <c r="H21" s="21" t="s">
        <v>51</v>
      </c>
      <c r="I21" s="21" t="s">
        <v>51</v>
      </c>
      <c r="J21" s="21" t="s">
        <v>333</v>
      </c>
      <c r="K21" s="35" t="s">
        <v>89</v>
      </c>
      <c r="L21" s="21" t="s">
        <v>292</v>
      </c>
      <c r="M21" s="21" t="s">
        <v>50</v>
      </c>
      <c r="N21" s="21" t="s">
        <v>50</v>
      </c>
      <c r="O21" s="21" t="s">
        <v>88</v>
      </c>
      <c r="P21" s="35" t="s">
        <v>210</v>
      </c>
      <c r="Q21" s="21" t="s">
        <v>292</v>
      </c>
      <c r="R21" s="21" t="s">
        <v>50</v>
      </c>
      <c r="S21" s="21" t="s">
        <v>50</v>
      </c>
      <c r="T21" s="21" t="s">
        <v>88</v>
      </c>
      <c r="U21" s="35" t="s">
        <v>293</v>
      </c>
      <c r="V21" s="21" t="s">
        <v>292</v>
      </c>
      <c r="W21" s="21" t="s">
        <v>92</v>
      </c>
      <c r="X21" s="15"/>
      <c r="Y21" s="15"/>
      <c r="Z21" s="15"/>
    </row>
    <row r="22">
      <c r="A22" s="17" t="str">
        <f t="shared" si="15"/>
        <v>ID-0010</v>
      </c>
      <c r="B22" s="51" t="s">
        <v>143</v>
      </c>
      <c r="C22" s="51" t="s">
        <v>334</v>
      </c>
      <c r="D22" s="52" t="s">
        <v>325</v>
      </c>
      <c r="E22" s="22" t="s">
        <v>335</v>
      </c>
      <c r="F22" s="22" t="s">
        <v>336</v>
      </c>
      <c r="G22" s="22" t="s">
        <v>337</v>
      </c>
      <c r="H22" s="21" t="s">
        <v>51</v>
      </c>
      <c r="I22" s="21" t="s">
        <v>51</v>
      </c>
      <c r="J22" s="21" t="s">
        <v>338</v>
      </c>
      <c r="K22" s="35" t="s">
        <v>89</v>
      </c>
      <c r="L22" s="21" t="s">
        <v>292</v>
      </c>
      <c r="M22" s="21" t="s">
        <v>51</v>
      </c>
      <c r="N22" s="21" t="s">
        <v>51</v>
      </c>
      <c r="O22" s="21" t="s">
        <v>339</v>
      </c>
      <c r="P22" s="35" t="s">
        <v>210</v>
      </c>
      <c r="Q22" s="21" t="s">
        <v>292</v>
      </c>
      <c r="R22" s="21" t="s">
        <v>50</v>
      </c>
      <c r="S22" s="21" t="s">
        <v>50</v>
      </c>
      <c r="T22" s="21" t="s">
        <v>88</v>
      </c>
      <c r="U22" s="35" t="s">
        <v>293</v>
      </c>
      <c r="V22" s="21" t="s">
        <v>292</v>
      </c>
      <c r="W22" s="21" t="s">
        <v>92</v>
      </c>
      <c r="X22" s="15"/>
      <c r="Y22" s="15"/>
      <c r="Z22" s="15"/>
    </row>
    <row r="23">
      <c r="A23" s="17" t="str">
        <f t="shared" si="15"/>
        <v>ID-0011</v>
      </c>
      <c r="B23" s="51" t="s">
        <v>143</v>
      </c>
      <c r="C23" s="51" t="s">
        <v>305</v>
      </c>
      <c r="D23" s="52" t="s">
        <v>340</v>
      </c>
      <c r="E23" s="22" t="s">
        <v>341</v>
      </c>
      <c r="F23" s="22" t="s">
        <v>342</v>
      </c>
      <c r="G23" s="22" t="s">
        <v>343</v>
      </c>
      <c r="H23" s="21" t="s">
        <v>50</v>
      </c>
      <c r="I23" s="21" t="s">
        <v>50</v>
      </c>
      <c r="J23" s="21" t="s">
        <v>88</v>
      </c>
      <c r="K23" s="35" t="s">
        <v>89</v>
      </c>
      <c r="L23" s="21" t="s">
        <v>292</v>
      </c>
      <c r="M23" s="21" t="s">
        <v>50</v>
      </c>
      <c r="N23" s="21" t="s">
        <v>50</v>
      </c>
      <c r="O23" s="21" t="s">
        <v>88</v>
      </c>
      <c r="P23" s="35" t="s">
        <v>210</v>
      </c>
      <c r="Q23" s="21" t="s">
        <v>292</v>
      </c>
      <c r="R23" s="21" t="s">
        <v>50</v>
      </c>
      <c r="S23" s="21" t="s">
        <v>50</v>
      </c>
      <c r="T23" s="21" t="s">
        <v>88</v>
      </c>
      <c r="U23" s="35" t="s">
        <v>293</v>
      </c>
      <c r="V23" s="21" t="s">
        <v>292</v>
      </c>
      <c r="W23" s="21" t="s">
        <v>92</v>
      </c>
      <c r="X23" s="15"/>
      <c r="Y23" s="15"/>
      <c r="Z23" s="15"/>
    </row>
    <row r="24">
      <c r="A24" s="17" t="str">
        <f t="shared" si="15"/>
        <v>ID-0012</v>
      </c>
      <c r="B24" s="51" t="s">
        <v>143</v>
      </c>
      <c r="C24" s="51" t="s">
        <v>310</v>
      </c>
      <c r="D24" s="52" t="s">
        <v>325</v>
      </c>
      <c r="E24" s="22" t="s">
        <v>344</v>
      </c>
      <c r="F24" s="22" t="s">
        <v>345</v>
      </c>
      <c r="G24" s="22" t="s">
        <v>346</v>
      </c>
      <c r="H24" s="21" t="s">
        <v>50</v>
      </c>
      <c r="I24" s="21" t="s">
        <v>50</v>
      </c>
      <c r="J24" s="21" t="s">
        <v>88</v>
      </c>
      <c r="K24" s="35" t="s">
        <v>89</v>
      </c>
      <c r="L24" s="21" t="s">
        <v>292</v>
      </c>
      <c r="M24" s="21" t="s">
        <v>50</v>
      </c>
      <c r="N24" s="21" t="s">
        <v>50</v>
      </c>
      <c r="O24" s="21" t="s">
        <v>88</v>
      </c>
      <c r="P24" s="35" t="s">
        <v>210</v>
      </c>
      <c r="Q24" s="21" t="s">
        <v>292</v>
      </c>
      <c r="R24" s="21" t="s">
        <v>50</v>
      </c>
      <c r="S24" s="21" t="s">
        <v>50</v>
      </c>
      <c r="T24" s="21" t="s">
        <v>88</v>
      </c>
      <c r="U24" s="35" t="s">
        <v>293</v>
      </c>
      <c r="V24" s="21" t="s">
        <v>292</v>
      </c>
      <c r="W24" s="21" t="s">
        <v>92</v>
      </c>
      <c r="X24" s="15"/>
      <c r="Y24" s="15"/>
      <c r="Z24" s="15"/>
    </row>
    <row r="25">
      <c r="A25" s="17" t="str">
        <f t="shared" si="15"/>
        <v>ID-0013</v>
      </c>
      <c r="B25" s="51" t="s">
        <v>137</v>
      </c>
      <c r="C25" s="51" t="s">
        <v>314</v>
      </c>
      <c r="D25" s="52" t="s">
        <v>347</v>
      </c>
      <c r="E25" s="22" t="s">
        <v>348</v>
      </c>
      <c r="F25" s="22" t="s">
        <v>349</v>
      </c>
      <c r="G25" s="22" t="s">
        <v>350</v>
      </c>
      <c r="H25" s="21" t="s">
        <v>50</v>
      </c>
      <c r="I25" s="21" t="s">
        <v>50</v>
      </c>
      <c r="J25" s="21" t="s">
        <v>88</v>
      </c>
      <c r="K25" s="35" t="s">
        <v>89</v>
      </c>
      <c r="L25" s="21" t="s">
        <v>292</v>
      </c>
      <c r="M25" s="21" t="s">
        <v>50</v>
      </c>
      <c r="N25" s="21" t="s">
        <v>50</v>
      </c>
      <c r="O25" s="21" t="s">
        <v>88</v>
      </c>
      <c r="P25" s="35" t="s">
        <v>210</v>
      </c>
      <c r="Q25" s="21" t="s">
        <v>292</v>
      </c>
      <c r="R25" s="21" t="s">
        <v>50</v>
      </c>
      <c r="S25" s="21" t="s">
        <v>50</v>
      </c>
      <c r="T25" s="21" t="s">
        <v>88</v>
      </c>
      <c r="U25" s="35" t="s">
        <v>293</v>
      </c>
      <c r="V25" s="21" t="s">
        <v>292</v>
      </c>
      <c r="W25" s="21" t="s">
        <v>92</v>
      </c>
      <c r="X25" s="15"/>
      <c r="Y25" s="15"/>
      <c r="Z25" s="15"/>
    </row>
    <row r="26">
      <c r="A26" s="17" t="str">
        <f t="shared" si="15"/>
        <v>ID-0014</v>
      </c>
      <c r="B26" s="51" t="s">
        <v>143</v>
      </c>
      <c r="C26" s="51" t="s">
        <v>351</v>
      </c>
      <c r="D26" s="51" t="s">
        <v>352</v>
      </c>
      <c r="E26" s="51" t="s">
        <v>353</v>
      </c>
      <c r="F26" s="51" t="s">
        <v>354</v>
      </c>
      <c r="G26" s="51" t="s">
        <v>355</v>
      </c>
      <c r="H26" s="21" t="s">
        <v>50</v>
      </c>
      <c r="I26" s="21" t="s">
        <v>50</v>
      </c>
      <c r="J26" s="21" t="s">
        <v>88</v>
      </c>
      <c r="K26" s="35" t="s">
        <v>89</v>
      </c>
      <c r="L26" s="21" t="s">
        <v>292</v>
      </c>
      <c r="M26" s="21" t="s">
        <v>50</v>
      </c>
      <c r="N26" s="21" t="s">
        <v>50</v>
      </c>
      <c r="O26" s="21" t="s">
        <v>88</v>
      </c>
      <c r="P26" s="35" t="s">
        <v>210</v>
      </c>
      <c r="Q26" s="21" t="s">
        <v>292</v>
      </c>
      <c r="R26" s="21" t="s">
        <v>50</v>
      </c>
      <c r="S26" s="21" t="s">
        <v>50</v>
      </c>
      <c r="T26" s="21" t="s">
        <v>88</v>
      </c>
      <c r="U26" s="35" t="s">
        <v>293</v>
      </c>
      <c r="V26" s="21" t="s">
        <v>292</v>
      </c>
      <c r="W26" s="21" t="s">
        <v>92</v>
      </c>
      <c r="X26" s="15"/>
      <c r="Y26" s="15"/>
      <c r="Z26" s="15"/>
    </row>
    <row r="27">
      <c r="A27" s="17" t="str">
        <f t="shared" si="15"/>
        <v>ID-0015</v>
      </c>
      <c r="B27" s="51" t="s">
        <v>143</v>
      </c>
      <c r="C27" s="51" t="s">
        <v>356</v>
      </c>
      <c r="D27" s="51" t="s">
        <v>352</v>
      </c>
      <c r="E27" s="51" t="s">
        <v>357</v>
      </c>
      <c r="F27" s="51" t="s">
        <v>358</v>
      </c>
      <c r="G27" s="51" t="s">
        <v>359</v>
      </c>
      <c r="H27" s="21" t="s">
        <v>50</v>
      </c>
      <c r="I27" s="21" t="s">
        <v>50</v>
      </c>
      <c r="J27" s="21" t="s">
        <v>88</v>
      </c>
      <c r="K27" s="35" t="s">
        <v>89</v>
      </c>
      <c r="L27" s="21" t="s">
        <v>292</v>
      </c>
      <c r="M27" s="21" t="s">
        <v>50</v>
      </c>
      <c r="N27" s="21" t="s">
        <v>50</v>
      </c>
      <c r="O27" s="21" t="s">
        <v>88</v>
      </c>
      <c r="P27" s="35" t="s">
        <v>210</v>
      </c>
      <c r="Q27" s="21" t="s">
        <v>292</v>
      </c>
      <c r="R27" s="21" t="s">
        <v>50</v>
      </c>
      <c r="S27" s="21" t="s">
        <v>50</v>
      </c>
      <c r="T27" s="21" t="s">
        <v>88</v>
      </c>
      <c r="U27" s="35" t="s">
        <v>293</v>
      </c>
      <c r="V27" s="21" t="s">
        <v>292</v>
      </c>
      <c r="W27" s="21" t="s">
        <v>92</v>
      </c>
      <c r="X27" s="15"/>
      <c r="Y27" s="15"/>
      <c r="Z27" s="15"/>
    </row>
    <row r="28">
      <c r="A28" s="17" t="str">
        <f t="shared" si="15"/>
        <v>ID-0016</v>
      </c>
      <c r="B28" s="51" t="s">
        <v>143</v>
      </c>
      <c r="C28" s="51" t="s">
        <v>360</v>
      </c>
      <c r="D28" s="51" t="s">
        <v>361</v>
      </c>
      <c r="E28" s="51" t="s">
        <v>362</v>
      </c>
      <c r="F28" s="51" t="s">
        <v>363</v>
      </c>
      <c r="G28" s="51" t="s">
        <v>364</v>
      </c>
      <c r="H28" s="21" t="s">
        <v>50</v>
      </c>
      <c r="I28" s="21" t="s">
        <v>50</v>
      </c>
      <c r="J28" s="21" t="s">
        <v>88</v>
      </c>
      <c r="K28" s="35" t="s">
        <v>89</v>
      </c>
      <c r="L28" s="21" t="s">
        <v>292</v>
      </c>
      <c r="M28" s="21" t="s">
        <v>50</v>
      </c>
      <c r="N28" s="21" t="s">
        <v>50</v>
      </c>
      <c r="O28" s="21" t="s">
        <v>88</v>
      </c>
      <c r="P28" s="35" t="s">
        <v>210</v>
      </c>
      <c r="Q28" s="21" t="s">
        <v>292</v>
      </c>
      <c r="R28" s="21" t="s">
        <v>50</v>
      </c>
      <c r="S28" s="21" t="s">
        <v>50</v>
      </c>
      <c r="T28" s="21" t="s">
        <v>88</v>
      </c>
      <c r="U28" s="35" t="s">
        <v>293</v>
      </c>
      <c r="V28" s="21" t="s">
        <v>292</v>
      </c>
      <c r="W28" s="21" t="s">
        <v>92</v>
      </c>
      <c r="X28" s="15"/>
      <c r="Y28" s="15"/>
      <c r="Z28" s="15"/>
    </row>
    <row r="29">
      <c r="A29" s="17" t="str">
        <f t="shared" si="15"/>
        <v>ID-0017</v>
      </c>
      <c r="B29" s="51" t="s">
        <v>143</v>
      </c>
      <c r="C29" s="51" t="s">
        <v>310</v>
      </c>
      <c r="D29" s="51" t="s">
        <v>365</v>
      </c>
      <c r="E29" s="51" t="s">
        <v>366</v>
      </c>
      <c r="F29" s="51" t="s">
        <v>345</v>
      </c>
      <c r="G29" s="51" t="s">
        <v>367</v>
      </c>
      <c r="H29" s="21" t="s">
        <v>50</v>
      </c>
      <c r="I29" s="21" t="s">
        <v>50</v>
      </c>
      <c r="J29" s="21" t="s">
        <v>88</v>
      </c>
      <c r="K29" s="35" t="s">
        <v>89</v>
      </c>
      <c r="L29" s="21" t="s">
        <v>292</v>
      </c>
      <c r="M29" s="21" t="s">
        <v>50</v>
      </c>
      <c r="N29" s="21" t="s">
        <v>50</v>
      </c>
      <c r="O29" s="21" t="s">
        <v>88</v>
      </c>
      <c r="P29" s="35" t="s">
        <v>210</v>
      </c>
      <c r="Q29" s="21" t="s">
        <v>292</v>
      </c>
      <c r="R29" s="21" t="s">
        <v>50</v>
      </c>
      <c r="S29" s="21" t="s">
        <v>50</v>
      </c>
      <c r="T29" s="21" t="s">
        <v>88</v>
      </c>
      <c r="U29" s="35" t="s">
        <v>293</v>
      </c>
      <c r="V29" s="21" t="s">
        <v>292</v>
      </c>
      <c r="W29" s="21" t="s">
        <v>92</v>
      </c>
      <c r="X29" s="15"/>
      <c r="Y29" s="15"/>
      <c r="Z29" s="15"/>
    </row>
    <row r="30">
      <c r="A30" s="17" t="str">
        <f t="shared" si="15"/>
        <v>ID-0018</v>
      </c>
      <c r="B30" s="51" t="s">
        <v>137</v>
      </c>
      <c r="C30" s="51" t="s">
        <v>314</v>
      </c>
      <c r="D30" s="51" t="s">
        <v>368</v>
      </c>
      <c r="E30" s="51" t="s">
        <v>369</v>
      </c>
      <c r="F30" s="51" t="s">
        <v>370</v>
      </c>
      <c r="G30" s="51" t="s">
        <v>371</v>
      </c>
      <c r="H30" s="21" t="s">
        <v>50</v>
      </c>
      <c r="I30" s="21" t="s">
        <v>50</v>
      </c>
      <c r="J30" s="21" t="s">
        <v>88</v>
      </c>
      <c r="K30" s="35" t="s">
        <v>89</v>
      </c>
      <c r="L30" s="21" t="s">
        <v>292</v>
      </c>
      <c r="M30" s="21" t="s">
        <v>50</v>
      </c>
      <c r="N30" s="21" t="s">
        <v>50</v>
      </c>
      <c r="O30" s="21" t="s">
        <v>88</v>
      </c>
      <c r="P30" s="35" t="s">
        <v>210</v>
      </c>
      <c r="Q30" s="21" t="s">
        <v>292</v>
      </c>
      <c r="R30" s="21" t="s">
        <v>50</v>
      </c>
      <c r="S30" s="21" t="s">
        <v>50</v>
      </c>
      <c r="T30" s="21" t="s">
        <v>88</v>
      </c>
      <c r="U30" s="35" t="s">
        <v>293</v>
      </c>
      <c r="V30" s="21" t="s">
        <v>292</v>
      </c>
      <c r="W30" s="21" t="s">
        <v>92</v>
      </c>
      <c r="X30" s="15"/>
      <c r="Y30" s="15"/>
      <c r="Z30" s="15"/>
    </row>
    <row r="31">
      <c r="A31" s="17" t="str">
        <f t="shared" si="15"/>
        <v>ID-0019</v>
      </c>
      <c r="B31" s="51" t="s">
        <v>143</v>
      </c>
      <c r="C31" s="51" t="s">
        <v>372</v>
      </c>
      <c r="D31" s="51" t="s">
        <v>373</v>
      </c>
      <c r="E31" s="51" t="s">
        <v>374</v>
      </c>
      <c r="F31" s="51" t="s">
        <v>375</v>
      </c>
      <c r="G31" s="51" t="s">
        <v>376</v>
      </c>
      <c r="H31" s="21" t="s">
        <v>50</v>
      </c>
      <c r="I31" s="21" t="s">
        <v>50</v>
      </c>
      <c r="J31" s="21" t="s">
        <v>88</v>
      </c>
      <c r="K31" s="35" t="s">
        <v>89</v>
      </c>
      <c r="L31" s="21" t="s">
        <v>292</v>
      </c>
      <c r="M31" s="21" t="s">
        <v>50</v>
      </c>
      <c r="N31" s="21" t="s">
        <v>50</v>
      </c>
      <c r="O31" s="21" t="s">
        <v>88</v>
      </c>
      <c r="P31" s="35" t="s">
        <v>210</v>
      </c>
      <c r="Q31" s="21" t="s">
        <v>292</v>
      </c>
      <c r="R31" s="21" t="s">
        <v>50</v>
      </c>
      <c r="S31" s="21" t="s">
        <v>50</v>
      </c>
      <c r="T31" s="21" t="s">
        <v>88</v>
      </c>
      <c r="U31" s="35" t="s">
        <v>293</v>
      </c>
      <c r="V31" s="21" t="s">
        <v>292</v>
      </c>
      <c r="W31" s="21" t="s">
        <v>92</v>
      </c>
      <c r="X31" s="15"/>
      <c r="Y31" s="15"/>
      <c r="Z31" s="15"/>
    </row>
    <row r="32">
      <c r="A32" s="17" t="str">
        <f t="shared" si="15"/>
        <v>ID-0020</v>
      </c>
      <c r="B32" s="51" t="s">
        <v>143</v>
      </c>
      <c r="C32" s="51" t="s">
        <v>377</v>
      </c>
      <c r="D32" s="51" t="s">
        <v>378</v>
      </c>
      <c r="E32" s="51" t="s">
        <v>379</v>
      </c>
      <c r="F32" s="51" t="s">
        <v>380</v>
      </c>
      <c r="G32" s="51" t="s">
        <v>381</v>
      </c>
      <c r="H32" s="21" t="s">
        <v>50</v>
      </c>
      <c r="I32" s="21" t="s">
        <v>50</v>
      </c>
      <c r="J32" s="21" t="s">
        <v>88</v>
      </c>
      <c r="K32" s="35" t="s">
        <v>89</v>
      </c>
      <c r="L32" s="21" t="s">
        <v>292</v>
      </c>
      <c r="M32" s="21" t="s">
        <v>50</v>
      </c>
      <c r="N32" s="21" t="s">
        <v>50</v>
      </c>
      <c r="O32" s="21" t="s">
        <v>88</v>
      </c>
      <c r="P32" s="35" t="s">
        <v>210</v>
      </c>
      <c r="Q32" s="21" t="s">
        <v>292</v>
      </c>
      <c r="R32" s="21" t="s">
        <v>50</v>
      </c>
      <c r="S32" s="21" t="s">
        <v>50</v>
      </c>
      <c r="T32" s="21" t="s">
        <v>88</v>
      </c>
      <c r="U32" s="35" t="s">
        <v>293</v>
      </c>
      <c r="V32" s="21" t="s">
        <v>292</v>
      </c>
      <c r="W32" s="21" t="s">
        <v>92</v>
      </c>
      <c r="X32" s="15"/>
      <c r="Y32" s="15"/>
      <c r="Z32" s="15"/>
    </row>
    <row r="33">
      <c r="A33" s="17" t="str">
        <f t="shared" si="15"/>
        <v>ID-0021</v>
      </c>
      <c r="B33" s="51" t="s">
        <v>143</v>
      </c>
      <c r="C33" s="51" t="s">
        <v>360</v>
      </c>
      <c r="D33" s="51" t="s">
        <v>382</v>
      </c>
      <c r="E33" s="51" t="s">
        <v>383</v>
      </c>
      <c r="F33" s="51" t="s">
        <v>363</v>
      </c>
      <c r="G33" s="51" t="s">
        <v>384</v>
      </c>
      <c r="H33" s="21" t="s">
        <v>50</v>
      </c>
      <c r="I33" s="21" t="s">
        <v>50</v>
      </c>
      <c r="J33" s="21" t="s">
        <v>88</v>
      </c>
      <c r="K33" s="35" t="s">
        <v>89</v>
      </c>
      <c r="L33" s="21" t="s">
        <v>292</v>
      </c>
      <c r="M33" s="21" t="s">
        <v>50</v>
      </c>
      <c r="N33" s="21" t="s">
        <v>50</v>
      </c>
      <c r="O33" s="21" t="s">
        <v>88</v>
      </c>
      <c r="P33" s="35" t="s">
        <v>210</v>
      </c>
      <c r="Q33" s="21" t="s">
        <v>292</v>
      </c>
      <c r="R33" s="21" t="s">
        <v>50</v>
      </c>
      <c r="S33" s="21" t="s">
        <v>50</v>
      </c>
      <c r="T33" s="21" t="s">
        <v>88</v>
      </c>
      <c r="U33" s="35" t="s">
        <v>293</v>
      </c>
      <c r="V33" s="21" t="s">
        <v>292</v>
      </c>
      <c r="W33" s="21" t="s">
        <v>92</v>
      </c>
      <c r="X33" s="15"/>
      <c r="Y33" s="15"/>
      <c r="Z33" s="15"/>
    </row>
    <row r="34">
      <c r="A34" s="17" t="str">
        <f t="shared" si="15"/>
        <v>ID-0022</v>
      </c>
      <c r="B34" s="51" t="s">
        <v>143</v>
      </c>
      <c r="C34" s="51" t="s">
        <v>310</v>
      </c>
      <c r="D34" s="51" t="s">
        <v>378</v>
      </c>
      <c r="E34" s="51" t="s">
        <v>385</v>
      </c>
      <c r="F34" s="51" t="s">
        <v>345</v>
      </c>
      <c r="G34" s="51" t="s">
        <v>386</v>
      </c>
      <c r="H34" s="21" t="s">
        <v>50</v>
      </c>
      <c r="I34" s="21" t="s">
        <v>50</v>
      </c>
      <c r="J34" s="21" t="s">
        <v>88</v>
      </c>
      <c r="K34" s="35" t="s">
        <v>89</v>
      </c>
      <c r="L34" s="21" t="s">
        <v>292</v>
      </c>
      <c r="M34" s="21" t="s">
        <v>50</v>
      </c>
      <c r="N34" s="21" t="s">
        <v>50</v>
      </c>
      <c r="O34" s="21" t="s">
        <v>88</v>
      </c>
      <c r="P34" s="35" t="s">
        <v>210</v>
      </c>
      <c r="Q34" s="21" t="s">
        <v>292</v>
      </c>
      <c r="R34" s="21" t="s">
        <v>50</v>
      </c>
      <c r="S34" s="21" t="s">
        <v>50</v>
      </c>
      <c r="T34" s="21" t="s">
        <v>88</v>
      </c>
      <c r="U34" s="35" t="s">
        <v>293</v>
      </c>
      <c r="V34" s="21" t="s">
        <v>292</v>
      </c>
      <c r="W34" s="21" t="s">
        <v>92</v>
      </c>
      <c r="X34" s="15"/>
      <c r="Y34" s="15"/>
      <c r="Z34" s="15"/>
    </row>
    <row r="35">
      <c r="A35" s="17" t="str">
        <f t="shared" si="15"/>
        <v>ID-0023</v>
      </c>
      <c r="B35" s="53" t="s">
        <v>137</v>
      </c>
      <c r="C35" s="53" t="s">
        <v>314</v>
      </c>
      <c r="D35" s="53" t="s">
        <v>387</v>
      </c>
      <c r="E35" s="53" t="s">
        <v>388</v>
      </c>
      <c r="F35" s="53" t="s">
        <v>389</v>
      </c>
      <c r="G35" s="53" t="s">
        <v>390</v>
      </c>
      <c r="H35" s="21" t="s">
        <v>50</v>
      </c>
      <c r="I35" s="21" t="s">
        <v>50</v>
      </c>
      <c r="J35" s="21" t="s">
        <v>88</v>
      </c>
      <c r="K35" s="35" t="s">
        <v>89</v>
      </c>
      <c r="L35" s="21" t="s">
        <v>292</v>
      </c>
      <c r="M35" s="21" t="s">
        <v>50</v>
      </c>
      <c r="N35" s="21" t="s">
        <v>50</v>
      </c>
      <c r="O35" s="21" t="s">
        <v>88</v>
      </c>
      <c r="P35" s="35" t="s">
        <v>210</v>
      </c>
      <c r="Q35" s="21" t="s">
        <v>292</v>
      </c>
      <c r="R35" s="21" t="s">
        <v>50</v>
      </c>
      <c r="S35" s="21" t="s">
        <v>50</v>
      </c>
      <c r="T35" s="21" t="s">
        <v>88</v>
      </c>
      <c r="U35" s="35" t="s">
        <v>293</v>
      </c>
      <c r="V35" s="21" t="s">
        <v>292</v>
      </c>
      <c r="W35" s="21" t="s">
        <v>92</v>
      </c>
      <c r="X35" s="54"/>
      <c r="Y35" s="54"/>
      <c r="Z35" s="54"/>
    </row>
    <row r="36">
      <c r="A36" s="17" t="str">
        <f t="shared" si="15"/>
        <v>ID-0024</v>
      </c>
      <c r="B36" s="53" t="s">
        <v>143</v>
      </c>
      <c r="C36" s="53" t="s">
        <v>300</v>
      </c>
      <c r="D36" s="53" t="s">
        <v>391</v>
      </c>
      <c r="E36" s="53" t="s">
        <v>392</v>
      </c>
      <c r="F36" s="53" t="s">
        <v>393</v>
      </c>
      <c r="G36" s="53" t="s">
        <v>394</v>
      </c>
      <c r="H36" s="21" t="s">
        <v>50</v>
      </c>
      <c r="I36" s="21" t="s">
        <v>50</v>
      </c>
      <c r="J36" s="21" t="s">
        <v>88</v>
      </c>
      <c r="K36" s="35" t="s">
        <v>89</v>
      </c>
      <c r="L36" s="21" t="s">
        <v>292</v>
      </c>
      <c r="M36" s="21" t="s">
        <v>50</v>
      </c>
      <c r="N36" s="21" t="s">
        <v>50</v>
      </c>
      <c r="O36" s="21" t="s">
        <v>88</v>
      </c>
      <c r="P36" s="35" t="s">
        <v>210</v>
      </c>
      <c r="Q36" s="21" t="s">
        <v>292</v>
      </c>
      <c r="R36" s="21" t="s">
        <v>50</v>
      </c>
      <c r="S36" s="21" t="s">
        <v>50</v>
      </c>
      <c r="T36" s="21" t="s">
        <v>88</v>
      </c>
      <c r="U36" s="35" t="s">
        <v>293</v>
      </c>
      <c r="V36" s="21" t="s">
        <v>292</v>
      </c>
      <c r="W36" s="21" t="s">
        <v>92</v>
      </c>
      <c r="X36" s="54"/>
      <c r="Y36" s="54"/>
      <c r="Z36" s="54"/>
    </row>
    <row r="37">
      <c r="A37" s="17" t="str">
        <f t="shared" si="15"/>
        <v>ID-0025</v>
      </c>
      <c r="B37" s="53" t="s">
        <v>143</v>
      </c>
      <c r="C37" s="53" t="s">
        <v>395</v>
      </c>
      <c r="D37" s="53" t="s">
        <v>396</v>
      </c>
      <c r="E37" s="53" t="s">
        <v>397</v>
      </c>
      <c r="F37" s="53" t="s">
        <v>398</v>
      </c>
      <c r="G37" s="53" t="s">
        <v>399</v>
      </c>
      <c r="H37" s="21" t="s">
        <v>50</v>
      </c>
      <c r="I37" s="21" t="s">
        <v>50</v>
      </c>
      <c r="J37" s="21" t="s">
        <v>88</v>
      </c>
      <c r="K37" s="35" t="s">
        <v>89</v>
      </c>
      <c r="L37" s="21" t="s">
        <v>292</v>
      </c>
      <c r="M37" s="21" t="s">
        <v>50</v>
      </c>
      <c r="N37" s="21" t="s">
        <v>50</v>
      </c>
      <c r="O37" s="21" t="s">
        <v>88</v>
      </c>
      <c r="P37" s="35" t="s">
        <v>210</v>
      </c>
      <c r="Q37" s="21" t="s">
        <v>292</v>
      </c>
      <c r="R37" s="21" t="s">
        <v>50</v>
      </c>
      <c r="S37" s="21" t="s">
        <v>50</v>
      </c>
      <c r="T37" s="21" t="s">
        <v>88</v>
      </c>
      <c r="U37" s="35" t="s">
        <v>293</v>
      </c>
      <c r="V37" s="21" t="s">
        <v>292</v>
      </c>
      <c r="W37" s="21" t="s">
        <v>92</v>
      </c>
      <c r="X37" s="54"/>
      <c r="Y37" s="54"/>
      <c r="Z37" s="54"/>
    </row>
    <row r="38">
      <c r="A38" s="17" t="str">
        <f t="shared" si="15"/>
        <v>ID-0026</v>
      </c>
      <c r="B38" s="53" t="s">
        <v>143</v>
      </c>
      <c r="C38" s="53" t="s">
        <v>400</v>
      </c>
      <c r="D38" s="53" t="s">
        <v>401</v>
      </c>
      <c r="E38" s="53" t="s">
        <v>402</v>
      </c>
      <c r="F38" s="53" t="s">
        <v>403</v>
      </c>
      <c r="G38" s="53" t="s">
        <v>404</v>
      </c>
      <c r="H38" s="21" t="s">
        <v>50</v>
      </c>
      <c r="I38" s="21" t="s">
        <v>50</v>
      </c>
      <c r="J38" s="21" t="s">
        <v>88</v>
      </c>
      <c r="K38" s="35" t="s">
        <v>89</v>
      </c>
      <c r="L38" s="21" t="s">
        <v>292</v>
      </c>
      <c r="M38" s="21" t="s">
        <v>50</v>
      </c>
      <c r="N38" s="21" t="s">
        <v>50</v>
      </c>
      <c r="O38" s="21" t="s">
        <v>88</v>
      </c>
      <c r="P38" s="35" t="s">
        <v>210</v>
      </c>
      <c r="Q38" s="21" t="s">
        <v>292</v>
      </c>
      <c r="R38" s="21" t="s">
        <v>50</v>
      </c>
      <c r="S38" s="21" t="s">
        <v>50</v>
      </c>
      <c r="T38" s="21" t="s">
        <v>88</v>
      </c>
      <c r="U38" s="35" t="s">
        <v>293</v>
      </c>
      <c r="V38" s="21" t="s">
        <v>292</v>
      </c>
      <c r="W38" s="21" t="s">
        <v>92</v>
      </c>
      <c r="X38" s="54"/>
      <c r="Y38" s="54"/>
      <c r="Z38" s="54"/>
    </row>
    <row r="39">
      <c r="A39" s="17" t="str">
        <f t="shared" si="15"/>
        <v>ID-0027</v>
      </c>
      <c r="B39" s="53" t="s">
        <v>143</v>
      </c>
      <c r="C39" s="53" t="s">
        <v>405</v>
      </c>
      <c r="D39" s="53" t="s">
        <v>401</v>
      </c>
      <c r="E39" s="53" t="s">
        <v>406</v>
      </c>
      <c r="F39" s="53" t="s">
        <v>407</v>
      </c>
      <c r="G39" s="53" t="s">
        <v>408</v>
      </c>
      <c r="H39" s="21" t="s">
        <v>50</v>
      </c>
      <c r="I39" s="21" t="s">
        <v>50</v>
      </c>
      <c r="J39" s="21" t="s">
        <v>88</v>
      </c>
      <c r="K39" s="35" t="s">
        <v>89</v>
      </c>
      <c r="L39" s="21" t="s">
        <v>292</v>
      </c>
      <c r="M39" s="21" t="s">
        <v>50</v>
      </c>
      <c r="N39" s="21" t="s">
        <v>50</v>
      </c>
      <c r="O39" s="21" t="s">
        <v>88</v>
      </c>
      <c r="P39" s="35" t="s">
        <v>210</v>
      </c>
      <c r="Q39" s="21" t="s">
        <v>292</v>
      </c>
      <c r="R39" s="21" t="s">
        <v>50</v>
      </c>
      <c r="S39" s="21" t="s">
        <v>50</v>
      </c>
      <c r="T39" s="21" t="s">
        <v>88</v>
      </c>
      <c r="U39" s="35" t="s">
        <v>293</v>
      </c>
      <c r="V39" s="21" t="s">
        <v>292</v>
      </c>
      <c r="W39" s="21" t="s">
        <v>92</v>
      </c>
      <c r="X39" s="54"/>
      <c r="Y39" s="54"/>
      <c r="Z39" s="54"/>
    </row>
    <row r="40">
      <c r="A40" s="17" t="str">
        <f t="shared" si="15"/>
        <v>ID-0028</v>
      </c>
      <c r="B40" s="53" t="s">
        <v>143</v>
      </c>
      <c r="C40" s="53" t="s">
        <v>409</v>
      </c>
      <c r="D40" s="53" t="s">
        <v>410</v>
      </c>
      <c r="E40" s="53" t="s">
        <v>411</v>
      </c>
      <c r="F40" s="53" t="s">
        <v>412</v>
      </c>
      <c r="G40" s="53" t="s">
        <v>413</v>
      </c>
      <c r="H40" s="21" t="s">
        <v>51</v>
      </c>
      <c r="I40" s="21" t="s">
        <v>51</v>
      </c>
      <c r="J40" s="21" t="s">
        <v>414</v>
      </c>
      <c r="K40" s="35" t="s">
        <v>89</v>
      </c>
      <c r="L40" s="21" t="s">
        <v>292</v>
      </c>
      <c r="M40" s="21" t="s">
        <v>50</v>
      </c>
      <c r="N40" s="21" t="s">
        <v>50</v>
      </c>
      <c r="O40" s="21" t="s">
        <v>88</v>
      </c>
      <c r="P40" s="35" t="s">
        <v>210</v>
      </c>
      <c r="Q40" s="21" t="s">
        <v>292</v>
      </c>
      <c r="R40" s="21" t="s">
        <v>50</v>
      </c>
      <c r="S40" s="21" t="s">
        <v>50</v>
      </c>
      <c r="T40" s="21" t="s">
        <v>88</v>
      </c>
      <c r="U40" s="35" t="s">
        <v>293</v>
      </c>
      <c r="V40" s="21" t="s">
        <v>292</v>
      </c>
      <c r="W40" s="21" t="s">
        <v>92</v>
      </c>
      <c r="X40" s="54"/>
      <c r="Y40" s="54"/>
      <c r="Z40" s="54"/>
    </row>
    <row r="41" ht="15.75" customHeight="1">
      <c r="A41" s="42"/>
      <c r="B41" s="15"/>
      <c r="C41" s="15"/>
      <c r="D41" s="15"/>
      <c r="E41" s="15"/>
      <c r="F41" s="15"/>
      <c r="G41" s="15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15"/>
      <c r="X41" s="15"/>
      <c r="Y41" s="15"/>
      <c r="Z41" s="15"/>
    </row>
    <row r="42" ht="15.75" customHeight="1">
      <c r="A42" s="42"/>
      <c r="B42" s="15"/>
      <c r="C42" s="15"/>
      <c r="D42" s="15"/>
      <c r="E42" s="15"/>
      <c r="F42" s="15"/>
      <c r="G42" s="15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15"/>
      <c r="X42" s="15"/>
      <c r="Y42" s="15"/>
      <c r="Z42" s="15"/>
    </row>
    <row r="43" ht="15.75" customHeight="1">
      <c r="A43" s="42"/>
      <c r="B43" s="15"/>
      <c r="C43" s="15"/>
      <c r="D43" s="15"/>
      <c r="E43" s="15"/>
      <c r="F43" s="15"/>
      <c r="G43" s="15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15"/>
      <c r="X43" s="15"/>
      <c r="Y43" s="15"/>
      <c r="Z43" s="15"/>
    </row>
    <row r="44" ht="15.75" customHeight="1">
      <c r="A44" s="42"/>
      <c r="B44" s="15"/>
      <c r="C44" s="15"/>
      <c r="D44" s="15"/>
      <c r="E44" s="15"/>
      <c r="F44" s="15"/>
      <c r="G44" s="15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15"/>
      <c r="X44" s="15"/>
      <c r="Y44" s="15"/>
      <c r="Z44" s="15"/>
    </row>
    <row r="45" ht="15.75" customHeight="1">
      <c r="A45" s="42"/>
      <c r="B45" s="15"/>
      <c r="C45" s="15"/>
      <c r="D45" s="15"/>
      <c r="E45" s="15"/>
      <c r="F45" s="15"/>
      <c r="G45" s="15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15"/>
      <c r="X45" s="15"/>
      <c r="Y45" s="15"/>
      <c r="Z45" s="15"/>
    </row>
    <row r="46" ht="15.75" customHeight="1">
      <c r="A46" s="42"/>
      <c r="B46" s="15"/>
      <c r="C46" s="15"/>
      <c r="D46" s="15"/>
      <c r="E46" s="15"/>
      <c r="F46" s="15"/>
      <c r="G46" s="15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15"/>
      <c r="X46" s="15"/>
      <c r="Y46" s="15"/>
      <c r="Z46" s="15"/>
    </row>
    <row r="47" ht="15.75" customHeight="1">
      <c r="A47" s="42"/>
      <c r="B47" s="15"/>
      <c r="C47" s="15"/>
      <c r="D47" s="15"/>
      <c r="E47" s="15"/>
      <c r="F47" s="15"/>
      <c r="G47" s="15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15"/>
      <c r="X47" s="15"/>
      <c r="Y47" s="15"/>
      <c r="Z47" s="15"/>
    </row>
    <row r="48" ht="15.75" customHeight="1">
      <c r="A48" s="42"/>
      <c r="B48" s="15"/>
      <c r="C48" s="15"/>
      <c r="D48" s="15"/>
      <c r="E48" s="15"/>
      <c r="F48" s="15"/>
      <c r="G48" s="15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15"/>
      <c r="X48" s="15"/>
      <c r="Y48" s="15"/>
      <c r="Z48" s="15"/>
    </row>
    <row r="49" ht="15.75" customHeight="1">
      <c r="A49" s="42"/>
      <c r="B49" s="15"/>
      <c r="C49" s="15"/>
      <c r="D49" s="15"/>
      <c r="E49" s="15"/>
      <c r="F49" s="15"/>
      <c r="G49" s="15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15"/>
      <c r="X49" s="15"/>
      <c r="Y49" s="15"/>
      <c r="Z49" s="15"/>
    </row>
    <row r="50" ht="15.75" customHeight="1">
      <c r="A50" s="42"/>
      <c r="B50" s="15"/>
      <c r="C50" s="15"/>
      <c r="D50" s="15"/>
      <c r="E50" s="15"/>
      <c r="F50" s="15"/>
      <c r="G50" s="15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15"/>
      <c r="X50" s="15"/>
      <c r="Y50" s="15"/>
      <c r="Z50" s="15"/>
    </row>
    <row r="51" ht="15.75" customHeight="1">
      <c r="A51" s="42"/>
      <c r="B51" s="15"/>
      <c r="C51" s="15"/>
      <c r="D51" s="15"/>
      <c r="E51" s="15"/>
      <c r="F51" s="15"/>
      <c r="G51" s="15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15"/>
      <c r="X51" s="15"/>
      <c r="Y51" s="15"/>
      <c r="Z51" s="15"/>
    </row>
    <row r="52" ht="15.75" customHeight="1">
      <c r="A52" s="42"/>
      <c r="B52" s="15"/>
      <c r="C52" s="15"/>
      <c r="D52" s="15"/>
      <c r="E52" s="15"/>
      <c r="F52" s="15"/>
      <c r="G52" s="15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15"/>
      <c r="X52" s="15"/>
      <c r="Y52" s="15"/>
      <c r="Z52" s="15"/>
    </row>
    <row r="53" ht="15.75" customHeight="1">
      <c r="A53" s="42"/>
      <c r="B53" s="15"/>
      <c r="C53" s="15"/>
      <c r="D53" s="15"/>
      <c r="E53" s="15"/>
      <c r="F53" s="15"/>
      <c r="G53" s="15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15"/>
      <c r="X53" s="15"/>
      <c r="Y53" s="15"/>
      <c r="Z53" s="15"/>
    </row>
    <row r="54" ht="15.75" customHeight="1">
      <c r="A54" s="42"/>
      <c r="B54" s="15"/>
      <c r="C54" s="15"/>
      <c r="D54" s="15"/>
      <c r="E54" s="15"/>
      <c r="F54" s="15"/>
      <c r="G54" s="15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15"/>
      <c r="X54" s="15"/>
      <c r="Y54" s="15"/>
      <c r="Z54" s="15"/>
    </row>
    <row r="55" ht="15.75" customHeight="1">
      <c r="A55" s="42"/>
      <c r="B55" s="15"/>
      <c r="C55" s="15"/>
      <c r="D55" s="15"/>
      <c r="E55" s="15"/>
      <c r="F55" s="15"/>
      <c r="G55" s="15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15"/>
      <c r="X55" s="15"/>
      <c r="Y55" s="15"/>
      <c r="Z55" s="15"/>
    </row>
    <row r="56" ht="15.75" customHeight="1">
      <c r="A56" s="42"/>
      <c r="B56" s="15"/>
      <c r="C56" s="15"/>
      <c r="D56" s="15"/>
      <c r="E56" s="15"/>
      <c r="F56" s="15"/>
      <c r="G56" s="15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15"/>
      <c r="X56" s="15"/>
      <c r="Y56" s="15"/>
      <c r="Z56" s="15"/>
    </row>
    <row r="57" ht="15.75" customHeight="1">
      <c r="A57" s="42"/>
      <c r="B57" s="15"/>
      <c r="C57" s="15"/>
      <c r="D57" s="15"/>
      <c r="E57" s="15"/>
      <c r="F57" s="15"/>
      <c r="G57" s="15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15"/>
      <c r="X57" s="15"/>
      <c r="Y57" s="15"/>
      <c r="Z57" s="15"/>
    </row>
    <row r="58" ht="15.75" customHeight="1">
      <c r="A58" s="42"/>
      <c r="B58" s="15"/>
      <c r="C58" s="15"/>
      <c r="D58" s="15"/>
      <c r="E58" s="15"/>
      <c r="F58" s="15"/>
      <c r="G58" s="15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15"/>
      <c r="X58" s="15"/>
      <c r="Y58" s="15"/>
      <c r="Z58" s="15"/>
    </row>
    <row r="59" ht="15.75" customHeight="1">
      <c r="A59" s="42"/>
      <c r="B59" s="15"/>
      <c r="C59" s="15"/>
      <c r="D59" s="15"/>
      <c r="E59" s="15"/>
      <c r="F59" s="15"/>
      <c r="G59" s="15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15"/>
      <c r="X59" s="15"/>
      <c r="Y59" s="15"/>
      <c r="Z59" s="15"/>
    </row>
    <row r="60" ht="15.75" customHeight="1">
      <c r="A60" s="42"/>
      <c r="B60" s="15"/>
      <c r="C60" s="15"/>
      <c r="D60" s="15"/>
      <c r="E60" s="15"/>
      <c r="F60" s="15"/>
      <c r="G60" s="15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15"/>
      <c r="X60" s="15"/>
      <c r="Y60" s="15"/>
      <c r="Z60" s="15"/>
    </row>
    <row r="61" ht="15.75" customHeight="1">
      <c r="A61" s="42"/>
      <c r="B61" s="15"/>
      <c r="C61" s="15"/>
      <c r="D61" s="15"/>
      <c r="E61" s="15"/>
      <c r="F61" s="15"/>
      <c r="G61" s="15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15"/>
      <c r="X61" s="15"/>
      <c r="Y61" s="15"/>
      <c r="Z61" s="15"/>
    </row>
    <row r="62" ht="15.75" customHeight="1">
      <c r="A62" s="42"/>
      <c r="B62" s="15"/>
      <c r="C62" s="15"/>
      <c r="D62" s="15"/>
      <c r="E62" s="15"/>
      <c r="F62" s="15"/>
      <c r="G62" s="15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15"/>
      <c r="X62" s="15"/>
      <c r="Y62" s="15"/>
      <c r="Z62" s="15"/>
    </row>
    <row r="63" ht="15.75" customHeight="1">
      <c r="A63" s="42"/>
      <c r="B63" s="15"/>
      <c r="C63" s="15"/>
      <c r="D63" s="15"/>
      <c r="E63" s="15"/>
      <c r="F63" s="15"/>
      <c r="G63" s="15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15"/>
      <c r="X63" s="15"/>
      <c r="Y63" s="15"/>
      <c r="Z63" s="15"/>
    </row>
    <row r="64" ht="15.75" customHeight="1">
      <c r="A64" s="42"/>
      <c r="B64" s="15"/>
      <c r="C64" s="15"/>
      <c r="D64" s="15"/>
      <c r="E64" s="15"/>
      <c r="F64" s="15"/>
      <c r="G64" s="15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15"/>
      <c r="X64" s="15"/>
      <c r="Y64" s="15"/>
      <c r="Z64" s="15"/>
    </row>
    <row r="65" ht="15.75" customHeight="1">
      <c r="A65" s="42"/>
      <c r="B65" s="15"/>
      <c r="C65" s="15"/>
      <c r="D65" s="15"/>
      <c r="E65" s="15"/>
      <c r="F65" s="15"/>
      <c r="G65" s="15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15"/>
      <c r="X65" s="15"/>
      <c r="Y65" s="15"/>
      <c r="Z65" s="15"/>
    </row>
    <row r="66" ht="15.75" customHeight="1">
      <c r="A66" s="42"/>
      <c r="B66" s="15"/>
      <c r="C66" s="15"/>
      <c r="D66" s="15"/>
      <c r="E66" s="15"/>
      <c r="F66" s="15"/>
      <c r="G66" s="15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15"/>
      <c r="X66" s="15"/>
      <c r="Y66" s="15"/>
      <c r="Z66" s="15"/>
    </row>
    <row r="67" ht="15.75" customHeight="1">
      <c r="A67" s="42"/>
      <c r="B67" s="15"/>
      <c r="C67" s="15"/>
      <c r="D67" s="15"/>
      <c r="E67" s="15"/>
      <c r="F67" s="15"/>
      <c r="G67" s="15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15"/>
      <c r="X67" s="15"/>
      <c r="Y67" s="15"/>
      <c r="Z67" s="15"/>
    </row>
    <row r="68" ht="15.75" customHeight="1">
      <c r="A68" s="42"/>
      <c r="B68" s="15"/>
      <c r="C68" s="15"/>
      <c r="D68" s="15"/>
      <c r="E68" s="15"/>
      <c r="F68" s="15"/>
      <c r="G68" s="15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15"/>
      <c r="X68" s="15"/>
      <c r="Y68" s="15"/>
      <c r="Z68" s="15"/>
    </row>
    <row r="69" ht="15.75" customHeight="1">
      <c r="A69" s="42"/>
      <c r="B69" s="15"/>
      <c r="C69" s="15"/>
      <c r="D69" s="15"/>
      <c r="E69" s="15"/>
      <c r="F69" s="15"/>
      <c r="G69" s="15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15"/>
      <c r="X69" s="15"/>
      <c r="Y69" s="15"/>
      <c r="Z69" s="15"/>
    </row>
    <row r="70" ht="15.75" customHeight="1">
      <c r="A70" s="42"/>
      <c r="B70" s="15"/>
      <c r="C70" s="15"/>
      <c r="D70" s="15"/>
      <c r="E70" s="15"/>
      <c r="F70" s="15"/>
      <c r="G70" s="15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15"/>
      <c r="X70" s="15"/>
      <c r="Y70" s="15"/>
      <c r="Z70" s="15"/>
    </row>
    <row r="71" ht="15.75" customHeight="1">
      <c r="A71" s="42"/>
      <c r="B71" s="15"/>
      <c r="C71" s="15"/>
      <c r="D71" s="15"/>
      <c r="E71" s="15"/>
      <c r="F71" s="15"/>
      <c r="G71" s="15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15"/>
      <c r="X71" s="15"/>
      <c r="Y71" s="15"/>
      <c r="Z71" s="15"/>
    </row>
    <row r="72" ht="15.75" customHeight="1">
      <c r="A72" s="42"/>
      <c r="B72" s="15"/>
      <c r="C72" s="15"/>
      <c r="D72" s="15"/>
      <c r="E72" s="15"/>
      <c r="F72" s="15"/>
      <c r="G72" s="15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15"/>
      <c r="X72" s="15"/>
      <c r="Y72" s="15"/>
      <c r="Z72" s="15"/>
    </row>
    <row r="73" ht="15.75" customHeight="1">
      <c r="A73" s="42"/>
      <c r="B73" s="15"/>
      <c r="C73" s="15"/>
      <c r="D73" s="15"/>
      <c r="E73" s="15"/>
      <c r="F73" s="15"/>
      <c r="G73" s="15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15"/>
      <c r="X73" s="15"/>
      <c r="Y73" s="15"/>
      <c r="Z73" s="15"/>
    </row>
    <row r="74" ht="15.75" customHeight="1">
      <c r="A74" s="42"/>
      <c r="B74" s="15"/>
      <c r="C74" s="15"/>
      <c r="D74" s="15"/>
      <c r="E74" s="15"/>
      <c r="F74" s="15"/>
      <c r="G74" s="15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15"/>
      <c r="X74" s="15"/>
      <c r="Y74" s="15"/>
      <c r="Z74" s="15"/>
    </row>
    <row r="75" ht="15.75" customHeight="1">
      <c r="A75" s="42"/>
      <c r="B75" s="15"/>
      <c r="C75" s="15"/>
      <c r="D75" s="15"/>
      <c r="E75" s="15"/>
      <c r="F75" s="15"/>
      <c r="G75" s="15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15"/>
      <c r="X75" s="15"/>
      <c r="Y75" s="15"/>
      <c r="Z75" s="15"/>
    </row>
    <row r="76" ht="15.75" customHeight="1">
      <c r="A76" s="42"/>
      <c r="B76" s="15"/>
      <c r="C76" s="15"/>
      <c r="D76" s="15"/>
      <c r="E76" s="15"/>
      <c r="F76" s="15"/>
      <c r="G76" s="15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15"/>
      <c r="X76" s="15"/>
      <c r="Y76" s="15"/>
      <c r="Z76" s="15"/>
    </row>
    <row r="77" ht="15.75" customHeight="1">
      <c r="A77" s="42"/>
      <c r="B77" s="15"/>
      <c r="C77" s="15"/>
      <c r="D77" s="15"/>
      <c r="E77" s="15"/>
      <c r="F77" s="15"/>
      <c r="G77" s="15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15"/>
      <c r="X77" s="15"/>
      <c r="Y77" s="15"/>
      <c r="Z77" s="15"/>
    </row>
    <row r="78" ht="15.75" customHeight="1">
      <c r="A78" s="42"/>
      <c r="B78" s="15"/>
      <c r="C78" s="15"/>
      <c r="D78" s="15"/>
      <c r="E78" s="15"/>
      <c r="F78" s="15"/>
      <c r="G78" s="15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15"/>
      <c r="X78" s="15"/>
      <c r="Y78" s="15"/>
      <c r="Z78" s="15"/>
    </row>
    <row r="79" ht="15.75" customHeight="1">
      <c r="A79" s="42"/>
      <c r="B79" s="15"/>
      <c r="C79" s="15"/>
      <c r="D79" s="15"/>
      <c r="E79" s="15"/>
      <c r="F79" s="15"/>
      <c r="G79" s="15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15"/>
      <c r="X79" s="15"/>
      <c r="Y79" s="15"/>
      <c r="Z79" s="15"/>
    </row>
    <row r="80" ht="15.75" customHeight="1">
      <c r="A80" s="42"/>
      <c r="B80" s="15"/>
      <c r="C80" s="15"/>
      <c r="D80" s="15"/>
      <c r="E80" s="15"/>
      <c r="F80" s="15"/>
      <c r="G80" s="15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15"/>
      <c r="X80" s="15"/>
      <c r="Y80" s="15"/>
      <c r="Z80" s="15"/>
    </row>
    <row r="81" ht="15.75" customHeight="1">
      <c r="A81" s="42"/>
      <c r="B81" s="15"/>
      <c r="C81" s="15"/>
      <c r="D81" s="15"/>
      <c r="E81" s="15"/>
      <c r="F81" s="15"/>
      <c r="G81" s="15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15"/>
      <c r="X81" s="15"/>
      <c r="Y81" s="15"/>
      <c r="Z81" s="15"/>
    </row>
    <row r="82" ht="15.75" customHeight="1">
      <c r="A82" s="42"/>
      <c r="B82" s="15"/>
      <c r="C82" s="15"/>
      <c r="D82" s="15"/>
      <c r="E82" s="15"/>
      <c r="F82" s="15"/>
      <c r="G82" s="15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15"/>
      <c r="X82" s="15"/>
      <c r="Y82" s="15"/>
      <c r="Z82" s="15"/>
    </row>
    <row r="83" ht="15.75" customHeight="1">
      <c r="A83" s="42"/>
      <c r="B83" s="15"/>
      <c r="C83" s="15"/>
      <c r="D83" s="15"/>
      <c r="E83" s="15"/>
      <c r="F83" s="15"/>
      <c r="G83" s="15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15"/>
      <c r="X83" s="15"/>
      <c r="Y83" s="15"/>
      <c r="Z83" s="15"/>
    </row>
    <row r="84" ht="15.75" customHeight="1">
      <c r="A84" s="42"/>
      <c r="B84" s="15"/>
      <c r="C84" s="15"/>
      <c r="D84" s="15"/>
      <c r="E84" s="15"/>
      <c r="F84" s="15"/>
      <c r="G84" s="15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15"/>
      <c r="X84" s="15"/>
      <c r="Y84" s="15"/>
      <c r="Z84" s="15"/>
    </row>
    <row r="85" ht="15.75" customHeight="1">
      <c r="A85" s="42"/>
      <c r="B85" s="15"/>
      <c r="C85" s="15"/>
      <c r="D85" s="15"/>
      <c r="E85" s="15"/>
      <c r="F85" s="15"/>
      <c r="G85" s="15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15"/>
      <c r="X85" s="15"/>
      <c r="Y85" s="15"/>
      <c r="Z85" s="15"/>
    </row>
    <row r="86" ht="15.75" customHeight="1">
      <c r="A86" s="42"/>
      <c r="B86" s="15"/>
      <c r="C86" s="15"/>
      <c r="D86" s="15"/>
      <c r="E86" s="15"/>
      <c r="F86" s="15"/>
      <c r="G86" s="15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15"/>
      <c r="X86" s="15"/>
      <c r="Y86" s="15"/>
      <c r="Z86" s="15"/>
    </row>
    <row r="87" ht="15.75" customHeight="1">
      <c r="A87" s="42"/>
      <c r="B87" s="15"/>
      <c r="C87" s="15"/>
      <c r="D87" s="15"/>
      <c r="E87" s="15"/>
      <c r="F87" s="15"/>
      <c r="G87" s="15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15"/>
      <c r="X87" s="15"/>
      <c r="Y87" s="15"/>
      <c r="Z87" s="15"/>
    </row>
    <row r="88" ht="15.75" customHeight="1">
      <c r="A88" s="42"/>
      <c r="B88" s="15"/>
      <c r="C88" s="15"/>
      <c r="D88" s="15"/>
      <c r="E88" s="15"/>
      <c r="F88" s="15"/>
      <c r="G88" s="15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15"/>
      <c r="X88" s="15"/>
      <c r="Y88" s="15"/>
      <c r="Z88" s="15"/>
    </row>
    <row r="89" ht="15.75" customHeight="1">
      <c r="A89" s="42"/>
      <c r="B89" s="15"/>
      <c r="C89" s="15"/>
      <c r="D89" s="15"/>
      <c r="E89" s="15"/>
      <c r="F89" s="15"/>
      <c r="G89" s="15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15"/>
      <c r="X89" s="15"/>
      <c r="Y89" s="15"/>
      <c r="Z89" s="15"/>
    </row>
    <row r="90" ht="15.75" customHeight="1">
      <c r="A90" s="42"/>
      <c r="B90" s="15"/>
      <c r="C90" s="15"/>
      <c r="D90" s="15"/>
      <c r="E90" s="15"/>
      <c r="F90" s="15"/>
      <c r="G90" s="15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15"/>
      <c r="X90" s="15"/>
      <c r="Y90" s="15"/>
      <c r="Z90" s="15"/>
    </row>
    <row r="91" ht="15.75" customHeight="1">
      <c r="A91" s="42"/>
      <c r="B91" s="15"/>
      <c r="C91" s="15"/>
      <c r="D91" s="15"/>
      <c r="E91" s="15"/>
      <c r="F91" s="15"/>
      <c r="G91" s="15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15"/>
      <c r="X91" s="15"/>
      <c r="Y91" s="15"/>
      <c r="Z91" s="15"/>
    </row>
    <row r="92" ht="15.75" customHeight="1">
      <c r="A92" s="42"/>
      <c r="B92" s="15"/>
      <c r="C92" s="15"/>
      <c r="D92" s="15"/>
      <c r="E92" s="15"/>
      <c r="F92" s="15"/>
      <c r="G92" s="15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15"/>
      <c r="X92" s="15"/>
      <c r="Y92" s="15"/>
      <c r="Z92" s="15"/>
    </row>
    <row r="93" ht="15.75" customHeight="1">
      <c r="A93" s="42"/>
      <c r="B93" s="15"/>
      <c r="C93" s="15"/>
      <c r="D93" s="15"/>
      <c r="E93" s="15"/>
      <c r="F93" s="15"/>
      <c r="G93" s="15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15"/>
      <c r="X93" s="15"/>
      <c r="Y93" s="15"/>
      <c r="Z93" s="15"/>
    </row>
    <row r="94" ht="15.75" customHeight="1">
      <c r="A94" s="42"/>
      <c r="B94" s="15"/>
      <c r="C94" s="15"/>
      <c r="D94" s="15"/>
      <c r="E94" s="15"/>
      <c r="F94" s="15"/>
      <c r="G94" s="15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15"/>
      <c r="X94" s="15"/>
      <c r="Y94" s="15"/>
      <c r="Z94" s="15"/>
    </row>
    <row r="95" ht="15.75" customHeight="1">
      <c r="A95" s="42"/>
      <c r="B95" s="15"/>
      <c r="C95" s="15"/>
      <c r="D95" s="15"/>
      <c r="E95" s="15"/>
      <c r="F95" s="15"/>
      <c r="G95" s="15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15"/>
      <c r="X95" s="15"/>
      <c r="Y95" s="15"/>
      <c r="Z95" s="15"/>
    </row>
    <row r="96" ht="15.75" customHeight="1">
      <c r="A96" s="42"/>
      <c r="B96" s="15"/>
      <c r="C96" s="15"/>
      <c r="D96" s="15"/>
      <c r="E96" s="15"/>
      <c r="F96" s="15"/>
      <c r="G96" s="15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15"/>
      <c r="X96" s="15"/>
      <c r="Y96" s="15"/>
      <c r="Z96" s="15"/>
    </row>
    <row r="97" ht="15.75" customHeight="1">
      <c r="A97" s="42"/>
      <c r="B97" s="15"/>
      <c r="C97" s="15"/>
      <c r="D97" s="15"/>
      <c r="E97" s="15"/>
      <c r="F97" s="15"/>
      <c r="G97" s="15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15"/>
      <c r="X97" s="15"/>
      <c r="Y97" s="15"/>
      <c r="Z97" s="15"/>
    </row>
    <row r="98" ht="15.75" customHeight="1">
      <c r="A98" s="42"/>
      <c r="B98" s="15"/>
      <c r="C98" s="15"/>
      <c r="D98" s="15"/>
      <c r="E98" s="15"/>
      <c r="F98" s="15"/>
      <c r="G98" s="15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15"/>
      <c r="X98" s="15"/>
      <c r="Y98" s="15"/>
      <c r="Z98" s="15"/>
    </row>
    <row r="99" ht="15.75" customHeight="1">
      <c r="A99" s="42"/>
      <c r="B99" s="15"/>
      <c r="C99" s="15"/>
      <c r="D99" s="15"/>
      <c r="E99" s="15"/>
      <c r="F99" s="15"/>
      <c r="G99" s="15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15"/>
      <c r="X99" s="15"/>
      <c r="Y99" s="15"/>
      <c r="Z99" s="15"/>
    </row>
    <row r="100" ht="15.75" customHeight="1">
      <c r="A100" s="42"/>
      <c r="B100" s="15"/>
      <c r="C100" s="15"/>
      <c r="D100" s="15"/>
      <c r="E100" s="15"/>
      <c r="F100" s="15"/>
      <c r="G100" s="15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15"/>
      <c r="X100" s="15"/>
      <c r="Y100" s="15"/>
      <c r="Z100" s="15"/>
    </row>
    <row r="101" ht="15.75" customHeight="1">
      <c r="A101" s="42"/>
      <c r="B101" s="15"/>
      <c r="C101" s="15"/>
      <c r="D101" s="15"/>
      <c r="E101" s="15"/>
      <c r="F101" s="15"/>
      <c r="G101" s="15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15"/>
      <c r="X101" s="15"/>
      <c r="Y101" s="15"/>
      <c r="Z101" s="15"/>
    </row>
    <row r="102" ht="15.75" customHeight="1">
      <c r="A102" s="42"/>
      <c r="B102" s="15"/>
      <c r="C102" s="15"/>
      <c r="D102" s="15"/>
      <c r="E102" s="15"/>
      <c r="F102" s="15"/>
      <c r="G102" s="15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15"/>
      <c r="X102" s="15"/>
      <c r="Y102" s="15"/>
      <c r="Z102" s="15"/>
    </row>
    <row r="103" ht="15.75" customHeight="1">
      <c r="A103" s="42"/>
      <c r="B103" s="15"/>
      <c r="C103" s="15"/>
      <c r="D103" s="15"/>
      <c r="E103" s="15"/>
      <c r="F103" s="15"/>
      <c r="G103" s="15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15"/>
      <c r="X103" s="15"/>
      <c r="Y103" s="15"/>
      <c r="Z103" s="15"/>
    </row>
    <row r="104" ht="15.75" customHeight="1">
      <c r="A104" s="42"/>
      <c r="B104" s="15"/>
      <c r="C104" s="15"/>
      <c r="D104" s="15"/>
      <c r="E104" s="15"/>
      <c r="F104" s="15"/>
      <c r="G104" s="15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15"/>
      <c r="X104" s="15"/>
      <c r="Y104" s="15"/>
      <c r="Z104" s="15"/>
    </row>
    <row r="105" ht="15.75" customHeight="1">
      <c r="A105" s="42"/>
      <c r="B105" s="15"/>
      <c r="C105" s="15"/>
      <c r="D105" s="15"/>
      <c r="E105" s="15"/>
      <c r="F105" s="15"/>
      <c r="G105" s="15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15"/>
      <c r="X105" s="15"/>
      <c r="Y105" s="15"/>
      <c r="Z105" s="15"/>
    </row>
    <row r="106" ht="15.75" customHeight="1">
      <c r="A106" s="42"/>
      <c r="B106" s="15"/>
      <c r="C106" s="15"/>
      <c r="D106" s="15"/>
      <c r="E106" s="15"/>
      <c r="F106" s="15"/>
      <c r="G106" s="15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15"/>
      <c r="X106" s="15"/>
      <c r="Y106" s="15"/>
      <c r="Z106" s="15"/>
    </row>
    <row r="107" ht="15.75" customHeight="1">
      <c r="A107" s="42"/>
      <c r="B107" s="15"/>
      <c r="C107" s="15"/>
      <c r="D107" s="15"/>
      <c r="E107" s="15"/>
      <c r="F107" s="15"/>
      <c r="G107" s="15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15"/>
      <c r="X107" s="15"/>
      <c r="Y107" s="15"/>
      <c r="Z107" s="15"/>
    </row>
    <row r="108" ht="15.75" customHeight="1">
      <c r="A108" s="42"/>
      <c r="B108" s="15"/>
      <c r="C108" s="15"/>
      <c r="D108" s="15"/>
      <c r="E108" s="15"/>
      <c r="F108" s="15"/>
      <c r="G108" s="15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15"/>
      <c r="X108" s="15"/>
      <c r="Y108" s="15"/>
      <c r="Z108" s="15"/>
    </row>
    <row r="109" ht="15.75" customHeight="1">
      <c r="A109" s="42"/>
      <c r="B109" s="15"/>
      <c r="C109" s="15"/>
      <c r="D109" s="15"/>
      <c r="E109" s="15"/>
      <c r="F109" s="15"/>
      <c r="G109" s="15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15"/>
      <c r="X109" s="15"/>
      <c r="Y109" s="15"/>
      <c r="Z109" s="15"/>
    </row>
    <row r="110" ht="15.75" customHeight="1">
      <c r="A110" s="42"/>
      <c r="B110" s="15"/>
      <c r="C110" s="15"/>
      <c r="D110" s="15"/>
      <c r="E110" s="15"/>
      <c r="F110" s="15"/>
      <c r="G110" s="15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15"/>
      <c r="X110" s="15"/>
      <c r="Y110" s="15"/>
      <c r="Z110" s="15"/>
    </row>
    <row r="111" ht="15.75" customHeight="1">
      <c r="A111" s="42"/>
      <c r="B111" s="15"/>
      <c r="C111" s="15"/>
      <c r="D111" s="15"/>
      <c r="E111" s="15"/>
      <c r="F111" s="15"/>
      <c r="G111" s="15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15"/>
      <c r="X111" s="15"/>
      <c r="Y111" s="15"/>
      <c r="Z111" s="15"/>
    </row>
    <row r="112" ht="15.75" customHeight="1">
      <c r="A112" s="42"/>
      <c r="B112" s="15"/>
      <c r="C112" s="15"/>
      <c r="D112" s="15"/>
      <c r="E112" s="15"/>
      <c r="F112" s="15"/>
      <c r="G112" s="15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15"/>
      <c r="X112" s="15"/>
      <c r="Y112" s="15"/>
      <c r="Z112" s="15"/>
    </row>
    <row r="113" ht="15.75" customHeight="1">
      <c r="A113" s="42"/>
      <c r="B113" s="15"/>
      <c r="C113" s="15"/>
      <c r="D113" s="15"/>
      <c r="E113" s="15"/>
      <c r="F113" s="15"/>
      <c r="G113" s="15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15"/>
      <c r="X113" s="15"/>
      <c r="Y113" s="15"/>
      <c r="Z113" s="15"/>
    </row>
    <row r="114" ht="15.75" customHeight="1">
      <c r="A114" s="42"/>
      <c r="B114" s="15"/>
      <c r="C114" s="15"/>
      <c r="D114" s="15"/>
      <c r="E114" s="15"/>
      <c r="F114" s="15"/>
      <c r="G114" s="15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15"/>
      <c r="X114" s="15"/>
      <c r="Y114" s="15"/>
      <c r="Z114" s="15"/>
    </row>
    <row r="115" ht="15.75" customHeight="1">
      <c r="A115" s="42"/>
      <c r="B115" s="15"/>
      <c r="C115" s="15"/>
      <c r="D115" s="15"/>
      <c r="E115" s="15"/>
      <c r="F115" s="15"/>
      <c r="G115" s="15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15"/>
      <c r="X115" s="15"/>
      <c r="Y115" s="15"/>
      <c r="Z115" s="15"/>
    </row>
    <row r="116" ht="15.75" customHeight="1">
      <c r="A116" s="42"/>
      <c r="B116" s="15"/>
      <c r="C116" s="15"/>
      <c r="D116" s="15"/>
      <c r="E116" s="15"/>
      <c r="F116" s="15"/>
      <c r="G116" s="15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15"/>
      <c r="X116" s="15"/>
      <c r="Y116" s="15"/>
      <c r="Z116" s="15"/>
    </row>
    <row r="117" ht="15.75" customHeight="1">
      <c r="A117" s="42"/>
      <c r="B117" s="15"/>
      <c r="C117" s="15"/>
      <c r="D117" s="15"/>
      <c r="E117" s="15"/>
      <c r="F117" s="15"/>
      <c r="G117" s="15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15"/>
      <c r="X117" s="15"/>
      <c r="Y117" s="15"/>
      <c r="Z117" s="15"/>
    </row>
    <row r="118" ht="15.75" customHeight="1">
      <c r="A118" s="42"/>
      <c r="B118" s="15"/>
      <c r="C118" s="15"/>
      <c r="D118" s="15"/>
      <c r="E118" s="15"/>
      <c r="F118" s="15"/>
      <c r="G118" s="15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15"/>
      <c r="X118" s="15"/>
      <c r="Y118" s="15"/>
      <c r="Z118" s="15"/>
    </row>
    <row r="119" ht="15.75" customHeight="1">
      <c r="A119" s="42"/>
      <c r="B119" s="15"/>
      <c r="C119" s="15"/>
      <c r="D119" s="15"/>
      <c r="E119" s="15"/>
      <c r="F119" s="15"/>
      <c r="G119" s="15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15"/>
      <c r="X119" s="15"/>
      <c r="Y119" s="15"/>
      <c r="Z119" s="15"/>
    </row>
    <row r="120" ht="15.75" customHeight="1">
      <c r="A120" s="42"/>
      <c r="B120" s="15"/>
      <c r="C120" s="15"/>
      <c r="D120" s="15"/>
      <c r="E120" s="15"/>
      <c r="F120" s="15"/>
      <c r="G120" s="15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15"/>
      <c r="X120" s="15"/>
      <c r="Y120" s="15"/>
      <c r="Z120" s="15"/>
    </row>
    <row r="121" ht="15.75" customHeight="1">
      <c r="A121" s="42"/>
      <c r="B121" s="15"/>
      <c r="C121" s="15"/>
      <c r="D121" s="15"/>
      <c r="E121" s="15"/>
      <c r="F121" s="15"/>
      <c r="G121" s="15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15"/>
      <c r="X121" s="15"/>
      <c r="Y121" s="15"/>
      <c r="Z121" s="15"/>
    </row>
    <row r="122" ht="15.75" customHeight="1">
      <c r="A122" s="42"/>
      <c r="B122" s="15"/>
      <c r="C122" s="15"/>
      <c r="D122" s="15"/>
      <c r="E122" s="15"/>
      <c r="F122" s="15"/>
      <c r="G122" s="15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15"/>
      <c r="X122" s="15"/>
      <c r="Y122" s="15"/>
      <c r="Z122" s="15"/>
    </row>
    <row r="123" ht="15.75" customHeight="1">
      <c r="A123" s="42"/>
      <c r="B123" s="15"/>
      <c r="C123" s="15"/>
      <c r="D123" s="15"/>
      <c r="E123" s="15"/>
      <c r="F123" s="15"/>
      <c r="G123" s="15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15"/>
      <c r="X123" s="15"/>
      <c r="Y123" s="15"/>
      <c r="Z123" s="15"/>
    </row>
    <row r="124" ht="15.75" customHeight="1">
      <c r="A124" s="42"/>
      <c r="B124" s="15"/>
      <c r="C124" s="15"/>
      <c r="D124" s="15"/>
      <c r="E124" s="15"/>
      <c r="F124" s="15"/>
      <c r="G124" s="15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15"/>
      <c r="X124" s="15"/>
      <c r="Y124" s="15"/>
      <c r="Z124" s="15"/>
    </row>
    <row r="125" ht="15.75" customHeight="1">
      <c r="A125" s="42"/>
      <c r="B125" s="15"/>
      <c r="C125" s="15"/>
      <c r="D125" s="15"/>
      <c r="E125" s="15"/>
      <c r="F125" s="15"/>
      <c r="G125" s="15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15"/>
      <c r="X125" s="15"/>
      <c r="Y125" s="15"/>
      <c r="Z125" s="15"/>
    </row>
    <row r="126" ht="15.75" customHeight="1">
      <c r="A126" s="42"/>
      <c r="B126" s="15"/>
      <c r="C126" s="15"/>
      <c r="D126" s="15"/>
      <c r="E126" s="15"/>
      <c r="F126" s="15"/>
      <c r="G126" s="15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15"/>
      <c r="X126" s="15"/>
      <c r="Y126" s="15"/>
      <c r="Z126" s="15"/>
    </row>
    <row r="127" ht="15.75" customHeight="1">
      <c r="A127" s="42"/>
      <c r="B127" s="15"/>
      <c r="C127" s="15"/>
      <c r="D127" s="15"/>
      <c r="E127" s="15"/>
      <c r="F127" s="15"/>
      <c r="G127" s="15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15"/>
      <c r="X127" s="15"/>
      <c r="Y127" s="15"/>
      <c r="Z127" s="15"/>
    </row>
    <row r="128" ht="15.75" customHeight="1">
      <c r="A128" s="42"/>
      <c r="B128" s="15"/>
      <c r="C128" s="15"/>
      <c r="D128" s="15"/>
      <c r="E128" s="15"/>
      <c r="F128" s="15"/>
      <c r="G128" s="15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15"/>
      <c r="X128" s="15"/>
      <c r="Y128" s="15"/>
      <c r="Z128" s="15"/>
    </row>
    <row r="129" ht="15.75" customHeight="1">
      <c r="A129" s="42"/>
      <c r="B129" s="15"/>
      <c r="C129" s="15"/>
      <c r="D129" s="15"/>
      <c r="E129" s="15"/>
      <c r="F129" s="15"/>
      <c r="G129" s="15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15"/>
      <c r="X129" s="15"/>
      <c r="Y129" s="15"/>
      <c r="Z129" s="15"/>
    </row>
    <row r="130" ht="15.75" customHeight="1">
      <c r="A130" s="42"/>
      <c r="B130" s="15"/>
      <c r="C130" s="15"/>
      <c r="D130" s="15"/>
      <c r="E130" s="15"/>
      <c r="F130" s="15"/>
      <c r="G130" s="15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15"/>
      <c r="X130" s="15"/>
      <c r="Y130" s="15"/>
      <c r="Z130" s="15"/>
    </row>
    <row r="131" ht="15.75" customHeight="1">
      <c r="A131" s="42"/>
      <c r="B131" s="15"/>
      <c r="C131" s="15"/>
      <c r="D131" s="15"/>
      <c r="E131" s="15"/>
      <c r="F131" s="15"/>
      <c r="G131" s="15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15"/>
      <c r="X131" s="15"/>
      <c r="Y131" s="15"/>
      <c r="Z131" s="15"/>
    </row>
    <row r="132" ht="15.75" customHeight="1">
      <c r="A132" s="42"/>
      <c r="B132" s="15"/>
      <c r="C132" s="15"/>
      <c r="D132" s="15"/>
      <c r="E132" s="15"/>
      <c r="F132" s="15"/>
      <c r="G132" s="15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15"/>
      <c r="X132" s="15"/>
      <c r="Y132" s="15"/>
      <c r="Z132" s="15"/>
    </row>
    <row r="133" ht="15.75" customHeight="1">
      <c r="A133" s="42"/>
      <c r="B133" s="15"/>
      <c r="C133" s="15"/>
      <c r="D133" s="15"/>
      <c r="E133" s="15"/>
      <c r="F133" s="15"/>
      <c r="G133" s="15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15"/>
      <c r="X133" s="15"/>
      <c r="Y133" s="15"/>
      <c r="Z133" s="15"/>
    </row>
    <row r="134" ht="15.75" customHeight="1">
      <c r="A134" s="42"/>
      <c r="B134" s="15"/>
      <c r="C134" s="15"/>
      <c r="D134" s="15"/>
      <c r="E134" s="15"/>
      <c r="F134" s="15"/>
      <c r="G134" s="15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15"/>
      <c r="X134" s="15"/>
      <c r="Y134" s="15"/>
      <c r="Z134" s="15"/>
    </row>
    <row r="135" ht="15.75" customHeight="1">
      <c r="A135" s="42"/>
      <c r="B135" s="15"/>
      <c r="C135" s="15"/>
      <c r="D135" s="15"/>
      <c r="E135" s="15"/>
      <c r="F135" s="15"/>
      <c r="G135" s="15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15"/>
      <c r="X135" s="15"/>
      <c r="Y135" s="15"/>
      <c r="Z135" s="15"/>
    </row>
    <row r="136" ht="15.75" customHeight="1">
      <c r="A136" s="42"/>
      <c r="B136" s="15"/>
      <c r="C136" s="15"/>
      <c r="D136" s="15"/>
      <c r="E136" s="15"/>
      <c r="F136" s="15"/>
      <c r="G136" s="15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15"/>
      <c r="X136" s="15"/>
      <c r="Y136" s="15"/>
      <c r="Z136" s="15"/>
    </row>
    <row r="137" ht="15.75" customHeight="1">
      <c r="A137" s="42"/>
      <c r="B137" s="15"/>
      <c r="C137" s="15"/>
      <c r="D137" s="15"/>
      <c r="E137" s="15"/>
      <c r="F137" s="15"/>
      <c r="G137" s="15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15"/>
      <c r="X137" s="15"/>
      <c r="Y137" s="15"/>
      <c r="Z137" s="15"/>
    </row>
    <row r="138" ht="15.75" customHeight="1">
      <c r="A138" s="42"/>
      <c r="B138" s="15"/>
      <c r="C138" s="15"/>
      <c r="D138" s="15"/>
      <c r="E138" s="15"/>
      <c r="F138" s="15"/>
      <c r="G138" s="15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15"/>
      <c r="X138" s="15"/>
      <c r="Y138" s="15"/>
      <c r="Z138" s="15"/>
    </row>
    <row r="139" ht="15.75" customHeight="1">
      <c r="A139" s="42"/>
      <c r="B139" s="15"/>
      <c r="C139" s="15"/>
      <c r="D139" s="15"/>
      <c r="E139" s="15"/>
      <c r="F139" s="15"/>
      <c r="G139" s="15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15"/>
      <c r="X139" s="15"/>
      <c r="Y139" s="15"/>
      <c r="Z139" s="15"/>
    </row>
    <row r="140" ht="15.75" customHeight="1">
      <c r="A140" s="42"/>
      <c r="B140" s="15"/>
      <c r="C140" s="15"/>
      <c r="D140" s="15"/>
      <c r="E140" s="15"/>
      <c r="F140" s="15"/>
      <c r="G140" s="15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15"/>
      <c r="X140" s="15"/>
      <c r="Y140" s="15"/>
      <c r="Z140" s="15"/>
    </row>
    <row r="141" ht="15.75" customHeight="1">
      <c r="A141" s="42"/>
      <c r="B141" s="15"/>
      <c r="C141" s="15"/>
      <c r="D141" s="15"/>
      <c r="E141" s="15"/>
      <c r="F141" s="15"/>
      <c r="G141" s="15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15"/>
      <c r="X141" s="15"/>
      <c r="Y141" s="15"/>
      <c r="Z141" s="15"/>
    </row>
    <row r="142" ht="15.75" customHeight="1">
      <c r="A142" s="42"/>
      <c r="B142" s="15"/>
      <c r="C142" s="15"/>
      <c r="D142" s="15"/>
      <c r="E142" s="15"/>
      <c r="F142" s="15"/>
      <c r="G142" s="15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15"/>
      <c r="X142" s="15"/>
      <c r="Y142" s="15"/>
      <c r="Z142" s="15"/>
    </row>
    <row r="143" ht="15.75" customHeight="1">
      <c r="A143" s="42"/>
      <c r="B143" s="15"/>
      <c r="C143" s="15"/>
      <c r="D143" s="15"/>
      <c r="E143" s="15"/>
      <c r="F143" s="15"/>
      <c r="G143" s="15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15"/>
      <c r="X143" s="15"/>
      <c r="Y143" s="15"/>
      <c r="Z143" s="15"/>
    </row>
    <row r="144" ht="15.75" customHeight="1">
      <c r="A144" s="42"/>
      <c r="B144" s="15"/>
      <c r="C144" s="15"/>
      <c r="D144" s="15"/>
      <c r="E144" s="15"/>
      <c r="F144" s="15"/>
      <c r="G144" s="15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15"/>
      <c r="X144" s="15"/>
      <c r="Y144" s="15"/>
      <c r="Z144" s="15"/>
    </row>
    <row r="145" ht="15.75" customHeight="1">
      <c r="A145" s="42"/>
      <c r="B145" s="15"/>
      <c r="C145" s="15"/>
      <c r="D145" s="15"/>
      <c r="E145" s="15"/>
      <c r="F145" s="15"/>
      <c r="G145" s="15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15"/>
      <c r="X145" s="15"/>
      <c r="Y145" s="15"/>
      <c r="Z145" s="15"/>
    </row>
    <row r="146" ht="15.75" customHeight="1">
      <c r="A146" s="42"/>
      <c r="B146" s="15"/>
      <c r="C146" s="15"/>
      <c r="D146" s="15"/>
      <c r="E146" s="15"/>
      <c r="F146" s="15"/>
      <c r="G146" s="15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15"/>
      <c r="X146" s="15"/>
      <c r="Y146" s="15"/>
      <c r="Z146" s="15"/>
    </row>
    <row r="147" ht="15.75" customHeight="1">
      <c r="A147" s="42"/>
      <c r="B147" s="15"/>
      <c r="C147" s="15"/>
      <c r="D147" s="15"/>
      <c r="E147" s="15"/>
      <c r="F147" s="15"/>
      <c r="G147" s="15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15"/>
      <c r="X147" s="15"/>
      <c r="Y147" s="15"/>
      <c r="Z147" s="15"/>
    </row>
    <row r="148" ht="15.75" customHeight="1">
      <c r="A148" s="42"/>
      <c r="B148" s="15"/>
      <c r="C148" s="15"/>
      <c r="D148" s="15"/>
      <c r="E148" s="15"/>
      <c r="F148" s="15"/>
      <c r="G148" s="15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15"/>
      <c r="X148" s="15"/>
      <c r="Y148" s="15"/>
      <c r="Z148" s="15"/>
    </row>
    <row r="149" ht="15.75" customHeight="1">
      <c r="A149" s="42"/>
      <c r="B149" s="15"/>
      <c r="C149" s="15"/>
      <c r="D149" s="15"/>
      <c r="E149" s="15"/>
      <c r="F149" s="15"/>
      <c r="G149" s="15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15"/>
      <c r="X149" s="15"/>
      <c r="Y149" s="15"/>
      <c r="Z149" s="15"/>
    </row>
    <row r="150" ht="15.75" customHeight="1">
      <c r="A150" s="42"/>
      <c r="B150" s="15"/>
      <c r="C150" s="15"/>
      <c r="D150" s="15"/>
      <c r="E150" s="15"/>
      <c r="F150" s="15"/>
      <c r="G150" s="15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15"/>
      <c r="X150" s="15"/>
      <c r="Y150" s="15"/>
      <c r="Z150" s="15"/>
    </row>
    <row r="151" ht="15.75" customHeight="1">
      <c r="A151" s="42"/>
      <c r="B151" s="15"/>
      <c r="C151" s="15"/>
      <c r="D151" s="15"/>
      <c r="E151" s="15"/>
      <c r="F151" s="15"/>
      <c r="G151" s="15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15"/>
      <c r="X151" s="15"/>
      <c r="Y151" s="15"/>
      <c r="Z151" s="15"/>
    </row>
    <row r="152" ht="15.75" customHeight="1">
      <c r="A152" s="42"/>
      <c r="B152" s="15"/>
      <c r="C152" s="15"/>
      <c r="D152" s="15"/>
      <c r="E152" s="15"/>
      <c r="F152" s="15"/>
      <c r="G152" s="15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15"/>
      <c r="X152" s="15"/>
      <c r="Y152" s="15"/>
      <c r="Z152" s="15"/>
    </row>
    <row r="153" ht="15.75" customHeight="1">
      <c r="A153" s="42"/>
      <c r="B153" s="15"/>
      <c r="C153" s="15"/>
      <c r="D153" s="15"/>
      <c r="E153" s="15"/>
      <c r="F153" s="15"/>
      <c r="G153" s="15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15"/>
      <c r="X153" s="15"/>
      <c r="Y153" s="15"/>
      <c r="Z153" s="15"/>
    </row>
    <row r="154" ht="15.75" customHeight="1">
      <c r="A154" s="42"/>
      <c r="B154" s="15"/>
      <c r="C154" s="15"/>
      <c r="D154" s="15"/>
      <c r="E154" s="15"/>
      <c r="F154" s="15"/>
      <c r="G154" s="15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15"/>
      <c r="X154" s="15"/>
      <c r="Y154" s="15"/>
      <c r="Z154" s="15"/>
    </row>
    <row r="155" ht="15.75" customHeight="1">
      <c r="A155" s="42"/>
      <c r="B155" s="15"/>
      <c r="C155" s="15"/>
      <c r="D155" s="15"/>
      <c r="E155" s="15"/>
      <c r="F155" s="15"/>
      <c r="G155" s="15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15"/>
      <c r="X155" s="15"/>
      <c r="Y155" s="15"/>
      <c r="Z155" s="15"/>
    </row>
    <row r="156" ht="15.75" customHeight="1">
      <c r="A156" s="42"/>
      <c r="B156" s="15"/>
      <c r="C156" s="15"/>
      <c r="D156" s="15"/>
      <c r="E156" s="15"/>
      <c r="F156" s="15"/>
      <c r="G156" s="15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15"/>
      <c r="X156" s="15"/>
      <c r="Y156" s="15"/>
      <c r="Z156" s="15"/>
    </row>
    <row r="157" ht="15.75" customHeight="1">
      <c r="A157" s="42"/>
      <c r="B157" s="15"/>
      <c r="C157" s="15"/>
      <c r="D157" s="15"/>
      <c r="E157" s="15"/>
      <c r="F157" s="15"/>
      <c r="G157" s="15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15"/>
      <c r="X157" s="15"/>
      <c r="Y157" s="15"/>
      <c r="Z157" s="15"/>
    </row>
    <row r="158" ht="15.75" customHeight="1">
      <c r="A158" s="42"/>
      <c r="B158" s="15"/>
      <c r="C158" s="15"/>
      <c r="D158" s="15"/>
      <c r="E158" s="15"/>
      <c r="F158" s="15"/>
      <c r="G158" s="15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15"/>
      <c r="X158" s="15"/>
      <c r="Y158" s="15"/>
      <c r="Z158" s="15"/>
    </row>
    <row r="159" ht="15.75" customHeight="1">
      <c r="A159" s="42"/>
      <c r="B159" s="15"/>
      <c r="C159" s="15"/>
      <c r="D159" s="15"/>
      <c r="E159" s="15"/>
      <c r="F159" s="15"/>
      <c r="G159" s="15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15"/>
      <c r="X159" s="15"/>
      <c r="Y159" s="15"/>
      <c r="Z159" s="15"/>
    </row>
    <row r="160" ht="15.75" customHeight="1">
      <c r="A160" s="42"/>
      <c r="B160" s="15"/>
      <c r="C160" s="15"/>
      <c r="D160" s="15"/>
      <c r="E160" s="15"/>
      <c r="F160" s="15"/>
      <c r="G160" s="15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15"/>
      <c r="X160" s="15"/>
      <c r="Y160" s="15"/>
      <c r="Z160" s="15"/>
    </row>
    <row r="161" ht="15.75" customHeight="1">
      <c r="A161" s="42"/>
      <c r="B161" s="15"/>
      <c r="C161" s="15"/>
      <c r="D161" s="15"/>
      <c r="E161" s="15"/>
      <c r="F161" s="15"/>
      <c r="G161" s="15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15"/>
      <c r="X161" s="15"/>
      <c r="Y161" s="15"/>
      <c r="Z161" s="15"/>
    </row>
    <row r="162" ht="15.75" customHeight="1">
      <c r="A162" s="42"/>
      <c r="B162" s="15"/>
      <c r="C162" s="15"/>
      <c r="D162" s="15"/>
      <c r="E162" s="15"/>
      <c r="F162" s="15"/>
      <c r="G162" s="15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15"/>
      <c r="X162" s="15"/>
      <c r="Y162" s="15"/>
      <c r="Z162" s="15"/>
    </row>
    <row r="163" ht="15.75" customHeight="1">
      <c r="A163" s="42"/>
      <c r="B163" s="15"/>
      <c r="C163" s="15"/>
      <c r="D163" s="15"/>
      <c r="E163" s="15"/>
      <c r="F163" s="15"/>
      <c r="G163" s="15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15"/>
      <c r="X163" s="15"/>
      <c r="Y163" s="15"/>
      <c r="Z163" s="15"/>
    </row>
    <row r="164" ht="15.75" customHeight="1">
      <c r="A164" s="42"/>
      <c r="B164" s="15"/>
      <c r="C164" s="15"/>
      <c r="D164" s="15"/>
      <c r="E164" s="15"/>
      <c r="F164" s="15"/>
      <c r="G164" s="15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15"/>
      <c r="X164" s="15"/>
      <c r="Y164" s="15"/>
      <c r="Z164" s="15"/>
    </row>
    <row r="165" ht="15.75" customHeight="1">
      <c r="A165" s="42"/>
      <c r="B165" s="15"/>
      <c r="C165" s="15"/>
      <c r="D165" s="15"/>
      <c r="E165" s="15"/>
      <c r="F165" s="15"/>
      <c r="G165" s="15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15"/>
      <c r="X165" s="15"/>
      <c r="Y165" s="15"/>
      <c r="Z165" s="15"/>
    </row>
    <row r="166" ht="15.75" customHeight="1">
      <c r="A166" s="42"/>
      <c r="B166" s="15"/>
      <c r="C166" s="15"/>
      <c r="D166" s="15"/>
      <c r="E166" s="15"/>
      <c r="F166" s="15"/>
      <c r="G166" s="15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15"/>
      <c r="X166" s="15"/>
      <c r="Y166" s="15"/>
      <c r="Z166" s="15"/>
    </row>
    <row r="167" ht="15.75" customHeight="1">
      <c r="A167" s="42"/>
      <c r="B167" s="15"/>
      <c r="C167" s="15"/>
      <c r="D167" s="15"/>
      <c r="E167" s="15"/>
      <c r="F167" s="15"/>
      <c r="G167" s="15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15"/>
      <c r="X167" s="15"/>
      <c r="Y167" s="15"/>
      <c r="Z167" s="15"/>
    </row>
    <row r="168" ht="15.75" customHeight="1">
      <c r="A168" s="42"/>
      <c r="B168" s="15"/>
      <c r="C168" s="15"/>
      <c r="D168" s="15"/>
      <c r="E168" s="15"/>
      <c r="F168" s="15"/>
      <c r="G168" s="15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15"/>
      <c r="X168" s="15"/>
      <c r="Y168" s="15"/>
      <c r="Z168" s="15"/>
    </row>
    <row r="169" ht="15.75" customHeight="1">
      <c r="A169" s="42"/>
      <c r="B169" s="15"/>
      <c r="C169" s="15"/>
      <c r="D169" s="15"/>
      <c r="E169" s="15"/>
      <c r="F169" s="15"/>
      <c r="G169" s="15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15"/>
      <c r="X169" s="15"/>
      <c r="Y169" s="15"/>
      <c r="Z169" s="15"/>
    </row>
    <row r="170" ht="15.75" customHeight="1">
      <c r="A170" s="42"/>
      <c r="B170" s="15"/>
      <c r="C170" s="15"/>
      <c r="D170" s="15"/>
      <c r="E170" s="15"/>
      <c r="F170" s="15"/>
      <c r="G170" s="15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15"/>
      <c r="X170" s="15"/>
      <c r="Y170" s="15"/>
      <c r="Z170" s="15"/>
    </row>
    <row r="171" ht="15.75" customHeight="1">
      <c r="A171" s="42"/>
      <c r="B171" s="15"/>
      <c r="C171" s="15"/>
      <c r="D171" s="15"/>
      <c r="E171" s="15"/>
      <c r="F171" s="15"/>
      <c r="G171" s="15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15"/>
      <c r="X171" s="15"/>
      <c r="Y171" s="15"/>
      <c r="Z171" s="15"/>
    </row>
    <row r="172" ht="15.75" customHeight="1">
      <c r="A172" s="42"/>
      <c r="B172" s="15"/>
      <c r="C172" s="15"/>
      <c r="D172" s="15"/>
      <c r="E172" s="15"/>
      <c r="F172" s="15"/>
      <c r="G172" s="15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15"/>
      <c r="X172" s="15"/>
      <c r="Y172" s="15"/>
      <c r="Z172" s="15"/>
    </row>
    <row r="173" ht="15.75" customHeight="1">
      <c r="A173" s="42"/>
      <c r="B173" s="15"/>
      <c r="C173" s="15"/>
      <c r="D173" s="15"/>
      <c r="E173" s="15"/>
      <c r="F173" s="15"/>
      <c r="G173" s="15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15"/>
      <c r="X173" s="15"/>
      <c r="Y173" s="15"/>
      <c r="Z173" s="15"/>
    </row>
    <row r="174" ht="15.75" customHeight="1">
      <c r="A174" s="42"/>
      <c r="B174" s="15"/>
      <c r="C174" s="15"/>
      <c r="D174" s="15"/>
      <c r="E174" s="15"/>
      <c r="F174" s="15"/>
      <c r="G174" s="15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15"/>
      <c r="X174" s="15"/>
      <c r="Y174" s="15"/>
      <c r="Z174" s="15"/>
    </row>
    <row r="175" ht="15.75" customHeight="1">
      <c r="A175" s="42"/>
      <c r="B175" s="15"/>
      <c r="C175" s="15"/>
      <c r="D175" s="15"/>
      <c r="E175" s="15"/>
      <c r="F175" s="15"/>
      <c r="G175" s="15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15"/>
      <c r="X175" s="15"/>
      <c r="Y175" s="15"/>
      <c r="Z175" s="15"/>
    </row>
    <row r="176" ht="15.75" customHeight="1">
      <c r="A176" s="42"/>
      <c r="B176" s="15"/>
      <c r="C176" s="15"/>
      <c r="D176" s="15"/>
      <c r="E176" s="15"/>
      <c r="F176" s="15"/>
      <c r="G176" s="15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15"/>
      <c r="X176" s="15"/>
      <c r="Y176" s="15"/>
      <c r="Z176" s="15"/>
    </row>
    <row r="177" ht="15.75" customHeight="1">
      <c r="A177" s="42"/>
      <c r="B177" s="15"/>
      <c r="C177" s="15"/>
      <c r="D177" s="15"/>
      <c r="E177" s="15"/>
      <c r="F177" s="15"/>
      <c r="G177" s="15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15"/>
      <c r="X177" s="15"/>
      <c r="Y177" s="15"/>
      <c r="Z177" s="15"/>
    </row>
    <row r="178" ht="15.75" customHeight="1">
      <c r="A178" s="42"/>
      <c r="B178" s="15"/>
      <c r="C178" s="15"/>
      <c r="D178" s="15"/>
      <c r="E178" s="15"/>
      <c r="F178" s="15"/>
      <c r="G178" s="15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15"/>
      <c r="X178" s="15"/>
      <c r="Y178" s="15"/>
      <c r="Z178" s="15"/>
    </row>
    <row r="179" ht="15.75" customHeight="1">
      <c r="A179" s="42"/>
      <c r="B179" s="15"/>
      <c r="C179" s="15"/>
      <c r="D179" s="15"/>
      <c r="E179" s="15"/>
      <c r="F179" s="15"/>
      <c r="G179" s="15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15"/>
      <c r="X179" s="15"/>
      <c r="Y179" s="15"/>
      <c r="Z179" s="15"/>
    </row>
    <row r="180" ht="15.75" customHeight="1">
      <c r="A180" s="42"/>
      <c r="B180" s="15"/>
      <c r="C180" s="15"/>
      <c r="D180" s="15"/>
      <c r="E180" s="15"/>
      <c r="F180" s="15"/>
      <c r="G180" s="15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15"/>
      <c r="X180" s="15"/>
      <c r="Y180" s="15"/>
      <c r="Z180" s="15"/>
    </row>
    <row r="181" ht="15.75" customHeight="1">
      <c r="A181" s="42"/>
      <c r="B181" s="15"/>
      <c r="C181" s="15"/>
      <c r="D181" s="15"/>
      <c r="E181" s="15"/>
      <c r="F181" s="15"/>
      <c r="G181" s="15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15"/>
      <c r="X181" s="15"/>
      <c r="Y181" s="15"/>
      <c r="Z181" s="15"/>
    </row>
    <row r="182" ht="15.75" customHeight="1">
      <c r="A182" s="42"/>
      <c r="B182" s="15"/>
      <c r="C182" s="15"/>
      <c r="D182" s="15"/>
      <c r="E182" s="15"/>
      <c r="F182" s="15"/>
      <c r="G182" s="15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15"/>
      <c r="X182" s="15"/>
      <c r="Y182" s="15"/>
      <c r="Z182" s="15"/>
    </row>
    <row r="183" ht="15.75" customHeight="1">
      <c r="A183" s="42"/>
      <c r="B183" s="15"/>
      <c r="C183" s="15"/>
      <c r="D183" s="15"/>
      <c r="E183" s="15"/>
      <c r="F183" s="15"/>
      <c r="G183" s="15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15"/>
      <c r="X183" s="15"/>
      <c r="Y183" s="15"/>
      <c r="Z183" s="15"/>
    </row>
    <row r="184" ht="15.75" customHeight="1">
      <c r="A184" s="42"/>
      <c r="B184" s="15"/>
      <c r="C184" s="15"/>
      <c r="D184" s="15"/>
      <c r="E184" s="15"/>
      <c r="F184" s="15"/>
      <c r="G184" s="15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15"/>
      <c r="X184" s="15"/>
      <c r="Y184" s="15"/>
      <c r="Z184" s="15"/>
    </row>
    <row r="185" ht="15.75" customHeight="1">
      <c r="A185" s="42"/>
      <c r="B185" s="15"/>
      <c r="C185" s="15"/>
      <c r="D185" s="15"/>
      <c r="E185" s="15"/>
      <c r="F185" s="15"/>
      <c r="G185" s="15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15"/>
      <c r="X185" s="15"/>
      <c r="Y185" s="15"/>
      <c r="Z185" s="15"/>
    </row>
    <row r="186" ht="15.75" customHeight="1">
      <c r="A186" s="42"/>
      <c r="B186" s="15"/>
      <c r="C186" s="15"/>
      <c r="D186" s="15"/>
      <c r="E186" s="15"/>
      <c r="F186" s="15"/>
      <c r="G186" s="15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15"/>
      <c r="X186" s="15"/>
      <c r="Y186" s="15"/>
      <c r="Z186" s="15"/>
    </row>
    <row r="187" ht="15.75" customHeight="1">
      <c r="A187" s="42"/>
      <c r="B187" s="15"/>
      <c r="C187" s="15"/>
      <c r="D187" s="15"/>
      <c r="E187" s="15"/>
      <c r="F187" s="15"/>
      <c r="G187" s="15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15"/>
      <c r="X187" s="15"/>
      <c r="Y187" s="15"/>
      <c r="Z187" s="15"/>
    </row>
    <row r="188" ht="15.75" customHeight="1">
      <c r="A188" s="42"/>
      <c r="B188" s="15"/>
      <c r="C188" s="15"/>
      <c r="D188" s="15"/>
      <c r="E188" s="15"/>
      <c r="F188" s="15"/>
      <c r="G188" s="15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15"/>
      <c r="X188" s="15"/>
      <c r="Y188" s="15"/>
      <c r="Z188" s="15"/>
    </row>
    <row r="189" ht="15.75" customHeight="1">
      <c r="A189" s="42"/>
      <c r="B189" s="15"/>
      <c r="C189" s="15"/>
      <c r="D189" s="15"/>
      <c r="E189" s="15"/>
      <c r="F189" s="15"/>
      <c r="G189" s="15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15"/>
      <c r="X189" s="15"/>
      <c r="Y189" s="15"/>
      <c r="Z189" s="15"/>
    </row>
    <row r="190" ht="15.75" customHeight="1">
      <c r="A190" s="42"/>
      <c r="B190" s="15"/>
      <c r="C190" s="15"/>
      <c r="D190" s="15"/>
      <c r="E190" s="15"/>
      <c r="F190" s="15"/>
      <c r="G190" s="15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15"/>
      <c r="X190" s="15"/>
      <c r="Y190" s="15"/>
      <c r="Z190" s="15"/>
    </row>
    <row r="191" ht="15.75" customHeight="1">
      <c r="A191" s="42"/>
      <c r="B191" s="15"/>
      <c r="C191" s="15"/>
      <c r="D191" s="15"/>
      <c r="E191" s="15"/>
      <c r="F191" s="15"/>
      <c r="G191" s="15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15"/>
      <c r="X191" s="15"/>
      <c r="Y191" s="15"/>
      <c r="Z191" s="15"/>
    </row>
    <row r="192" ht="15.75" customHeight="1">
      <c r="A192" s="42"/>
      <c r="B192" s="15"/>
      <c r="C192" s="15"/>
      <c r="D192" s="15"/>
      <c r="E192" s="15"/>
      <c r="F192" s="15"/>
      <c r="G192" s="15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15"/>
      <c r="X192" s="15"/>
      <c r="Y192" s="15"/>
      <c r="Z192" s="15"/>
    </row>
    <row r="193" ht="15.75" customHeight="1">
      <c r="A193" s="42"/>
      <c r="B193" s="15"/>
      <c r="C193" s="15"/>
      <c r="D193" s="15"/>
      <c r="E193" s="15"/>
      <c r="F193" s="15"/>
      <c r="G193" s="15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15"/>
      <c r="X193" s="15"/>
      <c r="Y193" s="15"/>
      <c r="Z193" s="15"/>
    </row>
    <row r="194" ht="15.75" customHeight="1">
      <c r="A194" s="42"/>
      <c r="B194" s="15"/>
      <c r="C194" s="15"/>
      <c r="D194" s="15"/>
      <c r="E194" s="15"/>
      <c r="F194" s="15"/>
      <c r="G194" s="15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15"/>
      <c r="X194" s="15"/>
      <c r="Y194" s="15"/>
      <c r="Z194" s="15"/>
    </row>
    <row r="195" ht="15.75" customHeight="1">
      <c r="A195" s="42"/>
      <c r="B195" s="15"/>
      <c r="C195" s="15"/>
      <c r="D195" s="15"/>
      <c r="E195" s="15"/>
      <c r="F195" s="15"/>
      <c r="G195" s="15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15"/>
      <c r="X195" s="15"/>
      <c r="Y195" s="15"/>
      <c r="Z195" s="15"/>
    </row>
    <row r="196" ht="15.75" customHeight="1">
      <c r="A196" s="42"/>
      <c r="B196" s="15"/>
      <c r="C196" s="15"/>
      <c r="D196" s="15"/>
      <c r="E196" s="15"/>
      <c r="F196" s="15"/>
      <c r="G196" s="15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15"/>
      <c r="X196" s="15"/>
      <c r="Y196" s="15"/>
      <c r="Z196" s="15"/>
    </row>
    <row r="197" ht="15.75" customHeight="1">
      <c r="A197" s="42"/>
      <c r="B197" s="15"/>
      <c r="C197" s="15"/>
      <c r="D197" s="15"/>
      <c r="E197" s="15"/>
      <c r="F197" s="15"/>
      <c r="G197" s="15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15"/>
      <c r="X197" s="15"/>
      <c r="Y197" s="15"/>
      <c r="Z197" s="15"/>
    </row>
    <row r="198" ht="15.75" customHeight="1">
      <c r="A198" s="42"/>
      <c r="B198" s="15"/>
      <c r="C198" s="15"/>
      <c r="D198" s="15"/>
      <c r="E198" s="15"/>
      <c r="F198" s="15"/>
      <c r="G198" s="15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15"/>
      <c r="X198" s="15"/>
      <c r="Y198" s="15"/>
      <c r="Z198" s="15"/>
    </row>
    <row r="199" ht="15.75" customHeight="1">
      <c r="A199" s="42"/>
      <c r="B199" s="15"/>
      <c r="C199" s="15"/>
      <c r="D199" s="15"/>
      <c r="E199" s="15"/>
      <c r="F199" s="15"/>
      <c r="G199" s="15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15"/>
      <c r="X199" s="15"/>
      <c r="Y199" s="15"/>
      <c r="Z199" s="15"/>
    </row>
    <row r="200" ht="15.75" customHeight="1">
      <c r="A200" s="42"/>
      <c r="B200" s="15"/>
      <c r="C200" s="15"/>
      <c r="D200" s="15"/>
      <c r="E200" s="15"/>
      <c r="F200" s="15"/>
      <c r="G200" s="15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15"/>
      <c r="X200" s="15"/>
      <c r="Y200" s="15"/>
      <c r="Z200" s="15"/>
    </row>
    <row r="201" ht="15.75" customHeight="1">
      <c r="A201" s="42"/>
      <c r="B201" s="15"/>
      <c r="C201" s="15"/>
      <c r="D201" s="15"/>
      <c r="E201" s="15"/>
      <c r="F201" s="15"/>
      <c r="G201" s="15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15"/>
      <c r="X201" s="15"/>
      <c r="Y201" s="15"/>
      <c r="Z201" s="15"/>
    </row>
    <row r="202" ht="15.75" customHeight="1">
      <c r="A202" s="42"/>
      <c r="B202" s="15"/>
      <c r="C202" s="15"/>
      <c r="D202" s="15"/>
      <c r="E202" s="15"/>
      <c r="F202" s="15"/>
      <c r="G202" s="15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15"/>
      <c r="X202" s="15"/>
      <c r="Y202" s="15"/>
      <c r="Z202" s="15"/>
    </row>
    <row r="203" ht="15.75" customHeight="1">
      <c r="A203" s="42"/>
      <c r="B203" s="15"/>
      <c r="C203" s="15"/>
      <c r="D203" s="15"/>
      <c r="E203" s="15"/>
      <c r="F203" s="15"/>
      <c r="G203" s="15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15"/>
      <c r="X203" s="15"/>
      <c r="Y203" s="15"/>
      <c r="Z203" s="15"/>
    </row>
    <row r="204" ht="15.75" customHeight="1">
      <c r="A204" s="42"/>
      <c r="B204" s="15"/>
      <c r="C204" s="15"/>
      <c r="D204" s="15"/>
      <c r="E204" s="15"/>
      <c r="F204" s="15"/>
      <c r="G204" s="15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15"/>
      <c r="X204" s="15"/>
      <c r="Y204" s="15"/>
      <c r="Z204" s="15"/>
    </row>
    <row r="205" ht="15.75" customHeight="1">
      <c r="A205" s="42"/>
      <c r="B205" s="15"/>
      <c r="C205" s="15"/>
      <c r="D205" s="15"/>
      <c r="E205" s="15"/>
      <c r="F205" s="15"/>
      <c r="G205" s="15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15"/>
      <c r="X205" s="15"/>
      <c r="Y205" s="15"/>
      <c r="Z205" s="15"/>
    </row>
    <row r="206" ht="15.75" customHeight="1">
      <c r="A206" s="42"/>
      <c r="B206" s="15"/>
      <c r="C206" s="15"/>
      <c r="D206" s="15"/>
      <c r="E206" s="15"/>
      <c r="F206" s="15"/>
      <c r="G206" s="15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15"/>
      <c r="X206" s="15"/>
      <c r="Y206" s="15"/>
      <c r="Z206" s="15"/>
    </row>
    <row r="207" ht="15.75" customHeight="1">
      <c r="A207" s="42"/>
      <c r="B207" s="15"/>
      <c r="C207" s="15"/>
      <c r="D207" s="15"/>
      <c r="E207" s="15"/>
      <c r="F207" s="15"/>
      <c r="G207" s="15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15"/>
      <c r="X207" s="15"/>
      <c r="Y207" s="15"/>
      <c r="Z207" s="15"/>
    </row>
    <row r="208" ht="15.75" customHeight="1">
      <c r="A208" s="42"/>
      <c r="B208" s="15"/>
      <c r="C208" s="15"/>
      <c r="D208" s="15"/>
      <c r="E208" s="15"/>
      <c r="F208" s="15"/>
      <c r="G208" s="15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15"/>
      <c r="X208" s="15"/>
      <c r="Y208" s="15"/>
      <c r="Z208" s="15"/>
    </row>
    <row r="209" ht="15.75" customHeight="1">
      <c r="A209" s="42"/>
      <c r="B209" s="15"/>
      <c r="C209" s="15"/>
      <c r="D209" s="15"/>
      <c r="E209" s="15"/>
      <c r="F209" s="15"/>
      <c r="G209" s="15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15"/>
      <c r="X209" s="15"/>
      <c r="Y209" s="15"/>
      <c r="Z209" s="15"/>
    </row>
    <row r="210" ht="15.75" customHeight="1">
      <c r="A210" s="42"/>
      <c r="B210" s="15"/>
      <c r="C210" s="15"/>
      <c r="D210" s="15"/>
      <c r="E210" s="15"/>
      <c r="F210" s="15"/>
      <c r="G210" s="15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15"/>
      <c r="X210" s="15"/>
      <c r="Y210" s="15"/>
      <c r="Z210" s="15"/>
    </row>
    <row r="211" ht="15.75" customHeight="1">
      <c r="A211" s="42"/>
      <c r="B211" s="15"/>
      <c r="C211" s="15"/>
      <c r="D211" s="15"/>
      <c r="E211" s="15"/>
      <c r="F211" s="15"/>
      <c r="G211" s="15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15"/>
      <c r="X211" s="15"/>
      <c r="Y211" s="15"/>
      <c r="Z211" s="15"/>
    </row>
    <row r="212" ht="15.75" customHeight="1">
      <c r="A212" s="42"/>
      <c r="B212" s="15"/>
      <c r="C212" s="15"/>
      <c r="D212" s="15"/>
      <c r="E212" s="15"/>
      <c r="F212" s="15"/>
      <c r="G212" s="15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15"/>
      <c r="X212" s="15"/>
      <c r="Y212" s="15"/>
      <c r="Z212" s="15"/>
    </row>
    <row r="213" ht="15.75" customHeight="1">
      <c r="A213" s="42"/>
      <c r="B213" s="15"/>
      <c r="C213" s="15"/>
      <c r="D213" s="15"/>
      <c r="E213" s="15"/>
      <c r="F213" s="15"/>
      <c r="G213" s="15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15"/>
      <c r="X213" s="15"/>
      <c r="Y213" s="15"/>
      <c r="Z213" s="15"/>
    </row>
    <row r="214" ht="15.75" customHeight="1">
      <c r="A214" s="42"/>
      <c r="B214" s="15"/>
      <c r="C214" s="15"/>
      <c r="D214" s="15"/>
      <c r="E214" s="15"/>
      <c r="F214" s="15"/>
      <c r="G214" s="15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15"/>
      <c r="X214" s="15"/>
      <c r="Y214" s="15"/>
      <c r="Z214" s="15"/>
    </row>
    <row r="215" ht="15.75" customHeight="1">
      <c r="A215" s="42"/>
      <c r="B215" s="15"/>
      <c r="C215" s="15"/>
      <c r="D215" s="15"/>
      <c r="E215" s="15"/>
      <c r="F215" s="15"/>
      <c r="G215" s="15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15"/>
      <c r="X215" s="15"/>
      <c r="Y215" s="15"/>
      <c r="Z215" s="15"/>
    </row>
    <row r="216" ht="15.75" customHeight="1">
      <c r="A216" s="42"/>
      <c r="B216" s="15"/>
      <c r="C216" s="15"/>
      <c r="D216" s="15"/>
      <c r="E216" s="15"/>
      <c r="F216" s="15"/>
      <c r="G216" s="15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15"/>
      <c r="X216" s="15"/>
      <c r="Y216" s="15"/>
      <c r="Z216" s="15"/>
    </row>
    <row r="217" ht="15.75" customHeight="1">
      <c r="A217" s="42"/>
      <c r="B217" s="15"/>
      <c r="C217" s="15"/>
      <c r="D217" s="15"/>
      <c r="E217" s="15"/>
      <c r="F217" s="15"/>
      <c r="G217" s="15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15"/>
      <c r="X217" s="15"/>
      <c r="Y217" s="15"/>
      <c r="Z217" s="15"/>
    </row>
    <row r="218" ht="15.75" customHeight="1">
      <c r="A218" s="42"/>
      <c r="B218" s="15"/>
      <c r="C218" s="15"/>
      <c r="D218" s="15"/>
      <c r="E218" s="15"/>
      <c r="F218" s="15"/>
      <c r="G218" s="15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15"/>
      <c r="X218" s="15"/>
      <c r="Y218" s="15"/>
      <c r="Z218" s="15"/>
    </row>
    <row r="219" ht="15.75" customHeight="1">
      <c r="A219" s="42"/>
      <c r="B219" s="15"/>
      <c r="C219" s="15"/>
      <c r="D219" s="15"/>
      <c r="E219" s="15"/>
      <c r="F219" s="15"/>
      <c r="G219" s="15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15"/>
      <c r="X219" s="15"/>
      <c r="Y219" s="15"/>
      <c r="Z219" s="15"/>
    </row>
    <row r="220" ht="15.75" customHeight="1">
      <c r="A220" s="42"/>
      <c r="B220" s="15"/>
      <c r="C220" s="15"/>
      <c r="D220" s="15"/>
      <c r="E220" s="15"/>
      <c r="F220" s="15"/>
      <c r="G220" s="15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15"/>
      <c r="X220" s="15"/>
      <c r="Y220" s="15"/>
      <c r="Z220" s="15"/>
    </row>
    <row r="221" ht="15.75" customHeight="1">
      <c r="A221" s="42"/>
      <c r="B221" s="15"/>
      <c r="C221" s="15"/>
      <c r="D221" s="15"/>
      <c r="E221" s="15"/>
      <c r="F221" s="15"/>
      <c r="G221" s="15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15"/>
      <c r="X221" s="15"/>
      <c r="Y221" s="15"/>
      <c r="Z221" s="15"/>
    </row>
    <row r="222" ht="15.75" customHeight="1">
      <c r="A222" s="42"/>
      <c r="B222" s="15"/>
      <c r="C222" s="15"/>
      <c r="D222" s="15"/>
      <c r="E222" s="15"/>
      <c r="F222" s="15"/>
      <c r="G222" s="15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15"/>
      <c r="X222" s="15"/>
      <c r="Y222" s="15"/>
      <c r="Z222" s="15"/>
    </row>
    <row r="223" ht="15.75" customHeight="1">
      <c r="A223" s="42"/>
      <c r="B223" s="15"/>
      <c r="C223" s="15"/>
      <c r="D223" s="15"/>
      <c r="E223" s="15"/>
      <c r="F223" s="15"/>
      <c r="G223" s="15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15"/>
      <c r="X223" s="15"/>
      <c r="Y223" s="15"/>
      <c r="Z223" s="15"/>
    </row>
    <row r="224" ht="15.75" customHeight="1">
      <c r="A224" s="42"/>
      <c r="B224" s="15"/>
      <c r="C224" s="15"/>
      <c r="D224" s="15"/>
      <c r="E224" s="15"/>
      <c r="F224" s="15"/>
      <c r="G224" s="15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15"/>
      <c r="X224" s="15"/>
      <c r="Y224" s="15"/>
      <c r="Z224" s="15"/>
    </row>
    <row r="225" ht="15.75" customHeight="1">
      <c r="A225" s="42"/>
      <c r="B225" s="15"/>
      <c r="C225" s="15"/>
      <c r="D225" s="15"/>
      <c r="E225" s="15"/>
      <c r="F225" s="15"/>
      <c r="G225" s="15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15"/>
      <c r="X225" s="15"/>
      <c r="Y225" s="15"/>
      <c r="Z225" s="15"/>
    </row>
    <row r="226" ht="15.75" customHeight="1">
      <c r="A226" s="42"/>
      <c r="B226" s="15"/>
      <c r="C226" s="15"/>
      <c r="D226" s="15"/>
      <c r="E226" s="15"/>
      <c r="F226" s="15"/>
      <c r="G226" s="15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15"/>
      <c r="X226" s="15"/>
      <c r="Y226" s="15"/>
      <c r="Z226" s="15"/>
    </row>
    <row r="227" ht="15.75" customHeight="1">
      <c r="A227" s="42"/>
      <c r="B227" s="15"/>
      <c r="C227" s="15"/>
      <c r="D227" s="15"/>
      <c r="E227" s="15"/>
      <c r="F227" s="15"/>
      <c r="G227" s="15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15"/>
      <c r="X227" s="15"/>
      <c r="Y227" s="15"/>
      <c r="Z227" s="15"/>
    </row>
    <row r="228" ht="15.75" customHeight="1">
      <c r="A228" s="42"/>
      <c r="B228" s="15"/>
      <c r="C228" s="15"/>
      <c r="D228" s="15"/>
      <c r="E228" s="15"/>
      <c r="F228" s="15"/>
      <c r="G228" s="15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15"/>
      <c r="X228" s="15"/>
      <c r="Y228" s="15"/>
      <c r="Z228" s="15"/>
    </row>
    <row r="229" ht="15.75" customHeight="1">
      <c r="A229" s="42"/>
      <c r="B229" s="15"/>
      <c r="C229" s="15"/>
      <c r="D229" s="15"/>
      <c r="E229" s="15"/>
      <c r="F229" s="15"/>
      <c r="G229" s="15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15"/>
      <c r="X229" s="15"/>
      <c r="Y229" s="15"/>
      <c r="Z229" s="15"/>
    </row>
    <row r="230" ht="15.75" customHeight="1">
      <c r="A230" s="42"/>
      <c r="B230" s="15"/>
      <c r="C230" s="15"/>
      <c r="D230" s="15"/>
      <c r="E230" s="15"/>
      <c r="F230" s="15"/>
      <c r="G230" s="15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15"/>
      <c r="X230" s="15"/>
      <c r="Y230" s="15"/>
      <c r="Z230" s="15"/>
    </row>
    <row r="231" ht="15.75" customHeight="1">
      <c r="A231" s="42"/>
      <c r="B231" s="15"/>
      <c r="C231" s="15"/>
      <c r="D231" s="15"/>
      <c r="E231" s="15"/>
      <c r="F231" s="15"/>
      <c r="G231" s="15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15"/>
      <c r="X231" s="15"/>
      <c r="Y231" s="15"/>
      <c r="Z231" s="15"/>
    </row>
    <row r="232" ht="15.75" customHeight="1">
      <c r="A232" s="42"/>
      <c r="B232" s="15"/>
      <c r="C232" s="15"/>
      <c r="D232" s="15"/>
      <c r="E232" s="15"/>
      <c r="F232" s="15"/>
      <c r="G232" s="15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15"/>
      <c r="X232" s="15"/>
      <c r="Y232" s="15"/>
      <c r="Z232" s="15"/>
    </row>
    <row r="233" ht="15.75" customHeight="1">
      <c r="A233" s="42"/>
      <c r="B233" s="15"/>
      <c r="C233" s="15"/>
      <c r="D233" s="15"/>
      <c r="E233" s="15"/>
      <c r="F233" s="15"/>
      <c r="G233" s="15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15"/>
      <c r="X233" s="15"/>
      <c r="Y233" s="15"/>
      <c r="Z233" s="15"/>
    </row>
    <row r="234" ht="15.75" customHeight="1">
      <c r="A234" s="42"/>
      <c r="B234" s="15"/>
      <c r="C234" s="15"/>
      <c r="D234" s="15"/>
      <c r="E234" s="15"/>
      <c r="F234" s="15"/>
      <c r="G234" s="15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15"/>
      <c r="X234" s="15"/>
      <c r="Y234" s="15"/>
      <c r="Z234" s="15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mergeCells count="24">
    <mergeCell ref="D10:D12"/>
    <mergeCell ref="E10:E12"/>
    <mergeCell ref="H2:I2"/>
    <mergeCell ref="J2:K2"/>
    <mergeCell ref="L2:M2"/>
    <mergeCell ref="N2:N3"/>
    <mergeCell ref="A10:A12"/>
    <mergeCell ref="B10:B12"/>
    <mergeCell ref="C10:C12"/>
    <mergeCell ref="H10:L10"/>
    <mergeCell ref="H11:J11"/>
    <mergeCell ref="M11:O11"/>
    <mergeCell ref="P11:P12"/>
    <mergeCell ref="Q11:Q12"/>
    <mergeCell ref="R11:T11"/>
    <mergeCell ref="U11:U12"/>
    <mergeCell ref="F10:F12"/>
    <mergeCell ref="G10:G12"/>
    <mergeCell ref="M10:Q10"/>
    <mergeCell ref="R10:V10"/>
    <mergeCell ref="W10:W12"/>
    <mergeCell ref="K11:K12"/>
    <mergeCell ref="L11:L12"/>
    <mergeCell ref="V11:V12"/>
  </mergeCells>
  <dataValidations>
    <dataValidation type="list" allowBlank="1" showErrorMessage="1" sqref="I13 H14:I40 M13:N40 R13:S40">
      <formula1>"Passed,Failed,Blocked,Not Run"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6.11"/>
    <col customWidth="1" min="3" max="3" width="17.33"/>
    <col customWidth="1" min="4" max="5" width="22.33"/>
    <col customWidth="1" min="6" max="6" width="22.89"/>
    <col customWidth="1" min="7" max="7" width="33.44"/>
    <col customWidth="1" min="8" max="9" width="16.44"/>
    <col customWidth="1" min="10" max="10" width="17.33"/>
    <col customWidth="1" min="11" max="11" width="21.11"/>
    <col customWidth="1" min="12" max="12" width="13.11"/>
    <col customWidth="1" min="13" max="14" width="16.44"/>
    <col customWidth="1" min="15" max="15" width="17.33"/>
    <col customWidth="1" min="16" max="16" width="24.67"/>
    <col customWidth="1" min="17" max="17" width="13.67"/>
    <col customWidth="1" min="18" max="19" width="16.44"/>
    <col customWidth="1" min="20" max="20" width="17.33"/>
    <col customWidth="1" min="21" max="21" width="23.44"/>
    <col customWidth="1" min="22" max="22" width="13.33"/>
    <col customWidth="1" min="23" max="23" width="5.78"/>
    <col customWidth="1" min="24" max="26" width="10.56"/>
  </cols>
  <sheetData>
    <row r="1" ht="15.75" customHeight="1">
      <c r="A1" s="40" t="s">
        <v>61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1"/>
      <c r="X1" s="41"/>
      <c r="Y1" s="41"/>
      <c r="Z1" s="41"/>
    </row>
    <row r="2" ht="15.75" customHeight="1">
      <c r="A2" s="43"/>
      <c r="B2" s="41"/>
      <c r="C2" s="41"/>
      <c r="D2" s="41"/>
      <c r="E2" s="41"/>
      <c r="F2" s="41"/>
      <c r="G2" s="41"/>
      <c r="H2" s="29" t="s">
        <v>45</v>
      </c>
      <c r="I2" s="6"/>
      <c r="J2" s="29" t="s">
        <v>46</v>
      </c>
      <c r="K2" s="6"/>
      <c r="L2" s="29" t="s">
        <v>47</v>
      </c>
      <c r="M2" s="6"/>
      <c r="N2" s="28" t="s">
        <v>62</v>
      </c>
      <c r="O2" s="42"/>
      <c r="P2" s="42"/>
      <c r="Q2" s="42"/>
      <c r="R2" s="42"/>
      <c r="S2" s="42"/>
      <c r="T2" s="42"/>
      <c r="U2" s="42"/>
      <c r="V2" s="42"/>
      <c r="W2" s="41"/>
      <c r="X2" s="41"/>
      <c r="Y2" s="41"/>
      <c r="Z2" s="41"/>
    </row>
    <row r="3" ht="15.75" customHeight="1">
      <c r="A3" s="13" t="s">
        <v>24</v>
      </c>
      <c r="B3" s="13" t="s">
        <v>63</v>
      </c>
      <c r="C3" s="41"/>
      <c r="D3" s="13" t="s">
        <v>64</v>
      </c>
      <c r="E3" s="13" t="s">
        <v>65</v>
      </c>
      <c r="F3" s="41"/>
      <c r="G3" s="44"/>
      <c r="H3" s="45" t="s">
        <v>48</v>
      </c>
      <c r="I3" s="45" t="s">
        <v>49</v>
      </c>
      <c r="J3" s="45" t="s">
        <v>48</v>
      </c>
      <c r="K3" s="45" t="s">
        <v>49</v>
      </c>
      <c r="L3" s="45" t="s">
        <v>48</v>
      </c>
      <c r="M3" s="45" t="s">
        <v>49</v>
      </c>
      <c r="N3" s="34"/>
      <c r="O3" s="42"/>
      <c r="P3" s="42"/>
      <c r="Q3" s="42"/>
      <c r="R3" s="42"/>
      <c r="S3" s="42"/>
      <c r="T3" s="42"/>
      <c r="U3" s="42"/>
      <c r="V3" s="42"/>
      <c r="W3" s="41"/>
      <c r="X3" s="41"/>
      <c r="Y3" s="41"/>
      <c r="Z3" s="41"/>
    </row>
    <row r="4" ht="15.75" customHeight="1">
      <c r="A4" s="46" t="s">
        <v>16</v>
      </c>
      <c r="B4" s="18" t="s">
        <v>32</v>
      </c>
      <c r="C4" s="41"/>
      <c r="D4" s="46" t="s">
        <v>415</v>
      </c>
      <c r="E4" s="47" t="s">
        <v>416</v>
      </c>
      <c r="F4" s="41"/>
      <c r="G4" s="13" t="s">
        <v>68</v>
      </c>
      <c r="H4" s="48">
        <f t="shared" ref="H4:I4" si="1">COUNTIF(H13:H202,"PASSED")</f>
        <v>10</v>
      </c>
      <c r="I4" s="48">
        <f t="shared" si="1"/>
        <v>10</v>
      </c>
      <c r="J4" s="48">
        <f t="shared" ref="J4:K4" si="2">COUNTIF(M13:M202,"PASSED")</f>
        <v>6</v>
      </c>
      <c r="K4" s="48">
        <f t="shared" si="2"/>
        <v>6</v>
      </c>
      <c r="L4" s="48">
        <f t="shared" ref="L4:M4" si="3">COUNTIF(R13:R202,"PASSED")</f>
        <v>11</v>
      </c>
      <c r="M4" s="48">
        <f t="shared" si="3"/>
        <v>11</v>
      </c>
      <c r="N4" s="48">
        <f t="shared" ref="N4:N8" si="7">SUM(H4:M4)</f>
        <v>54</v>
      </c>
      <c r="O4" s="42"/>
      <c r="P4" s="42"/>
      <c r="Q4" s="42"/>
      <c r="R4" s="42"/>
      <c r="S4" s="42"/>
      <c r="T4" s="42"/>
      <c r="U4" s="42"/>
      <c r="V4" s="42"/>
      <c r="W4" s="41"/>
      <c r="X4" s="41"/>
      <c r="Y4" s="41"/>
      <c r="Z4" s="41"/>
    </row>
    <row r="5" ht="15.75" customHeight="1">
      <c r="A5" s="49"/>
      <c r="B5" s="49"/>
      <c r="C5" s="41"/>
      <c r="D5" s="49"/>
      <c r="E5" s="49"/>
      <c r="F5" s="41"/>
      <c r="G5" s="13" t="s">
        <v>69</v>
      </c>
      <c r="H5" s="48">
        <f t="shared" ref="H5:I5" si="4">COUNTIF(H13:H212,"FAILED")</f>
        <v>1</v>
      </c>
      <c r="I5" s="48">
        <f t="shared" si="4"/>
        <v>1</v>
      </c>
      <c r="J5" s="48">
        <f t="shared" ref="J5:K5" si="5">COUNTIF(M14:M203,"FAILED")</f>
        <v>4</v>
      </c>
      <c r="K5" s="48">
        <f t="shared" si="5"/>
        <v>4</v>
      </c>
      <c r="L5" s="48">
        <f t="shared" ref="L5:M5" si="6">COUNTIF(R14:R203,"FAILED")</f>
        <v>0</v>
      </c>
      <c r="M5" s="48">
        <f t="shared" si="6"/>
        <v>0</v>
      </c>
      <c r="N5" s="48">
        <f t="shared" si="7"/>
        <v>10</v>
      </c>
      <c r="O5" s="42"/>
      <c r="P5" s="42"/>
      <c r="Q5" s="42"/>
      <c r="R5" s="42"/>
      <c r="S5" s="42"/>
      <c r="T5" s="42"/>
      <c r="U5" s="42"/>
      <c r="V5" s="42"/>
      <c r="W5" s="41"/>
      <c r="X5" s="41"/>
      <c r="Y5" s="41"/>
      <c r="Z5" s="41"/>
    </row>
    <row r="6" ht="15.75" customHeight="1">
      <c r="A6" s="49"/>
      <c r="B6" s="49"/>
      <c r="C6" s="41"/>
      <c r="D6" s="49"/>
      <c r="E6" s="49"/>
      <c r="F6" s="41"/>
      <c r="G6" s="13" t="s">
        <v>70</v>
      </c>
      <c r="H6" s="48">
        <f t="shared" ref="H6:I6" si="8">COUNTIF(H13:H222,"BLOCKED")</f>
        <v>0</v>
      </c>
      <c r="I6" s="48">
        <f t="shared" si="8"/>
        <v>0</v>
      </c>
      <c r="J6" s="48">
        <f t="shared" ref="J6:K6" si="9">COUNTIF(M15:M204,"BLOCKED")</f>
        <v>0</v>
      </c>
      <c r="K6" s="48">
        <f t="shared" si="9"/>
        <v>0</v>
      </c>
      <c r="L6" s="48">
        <f t="shared" ref="L6:M6" si="10">COUNTIF(R15:R204,"BLOCKED")</f>
        <v>0</v>
      </c>
      <c r="M6" s="48">
        <f t="shared" si="10"/>
        <v>0</v>
      </c>
      <c r="N6" s="48">
        <f t="shared" si="7"/>
        <v>0</v>
      </c>
      <c r="O6" s="42"/>
      <c r="P6" s="42"/>
      <c r="Q6" s="42"/>
      <c r="R6" s="42"/>
      <c r="S6" s="42"/>
      <c r="T6" s="42"/>
      <c r="U6" s="42"/>
      <c r="V6" s="42"/>
      <c r="W6" s="41"/>
      <c r="X6" s="41"/>
      <c r="Y6" s="41"/>
      <c r="Z6" s="41"/>
    </row>
    <row r="7" ht="15.75" customHeight="1">
      <c r="A7" s="49"/>
      <c r="B7" s="49"/>
      <c r="C7" s="41"/>
      <c r="D7" s="49"/>
      <c r="E7" s="49"/>
      <c r="F7" s="41"/>
      <c r="G7" s="13" t="s">
        <v>71</v>
      </c>
      <c r="H7" s="48">
        <f t="shared" ref="H7:I7" si="11">COUNTIF(H13:H232,"NOT RUN")</f>
        <v>0</v>
      </c>
      <c r="I7" s="48">
        <f t="shared" si="11"/>
        <v>0</v>
      </c>
      <c r="J7" s="48">
        <f t="shared" ref="J7:K7" si="12">COUNTIF(M16:M205,"NOT RUN")</f>
        <v>0</v>
      </c>
      <c r="K7" s="48">
        <f t="shared" si="12"/>
        <v>0</v>
      </c>
      <c r="L7" s="48">
        <f t="shared" ref="L7:M7" si="13">COUNTIF(R16:R205,"NOT RUN")</f>
        <v>0</v>
      </c>
      <c r="M7" s="48">
        <f t="shared" si="13"/>
        <v>0</v>
      </c>
      <c r="N7" s="48">
        <f t="shared" si="7"/>
        <v>0</v>
      </c>
      <c r="O7" s="42"/>
      <c r="P7" s="42"/>
      <c r="Q7" s="42"/>
      <c r="R7" s="42"/>
      <c r="S7" s="42"/>
      <c r="T7" s="42"/>
      <c r="U7" s="42"/>
      <c r="V7" s="42"/>
      <c r="W7" s="41"/>
      <c r="X7" s="41"/>
      <c r="Y7" s="41"/>
      <c r="Z7" s="41"/>
    </row>
    <row r="8" ht="15.75" customHeight="1">
      <c r="A8" s="49"/>
      <c r="B8" s="49"/>
      <c r="C8" s="41"/>
      <c r="D8" s="49"/>
      <c r="E8" s="49"/>
      <c r="F8" s="41"/>
      <c r="G8" s="13" t="s">
        <v>72</v>
      </c>
      <c r="H8" s="48">
        <f t="shared" ref="H8:M8" si="14">COUNTA($G13:$G214)</f>
        <v>11</v>
      </c>
      <c r="I8" s="48">
        <f t="shared" si="14"/>
        <v>11</v>
      </c>
      <c r="J8" s="48">
        <f t="shared" si="14"/>
        <v>11</v>
      </c>
      <c r="K8" s="48">
        <f t="shared" si="14"/>
        <v>11</v>
      </c>
      <c r="L8" s="48">
        <f t="shared" si="14"/>
        <v>11</v>
      </c>
      <c r="M8" s="48">
        <f t="shared" si="14"/>
        <v>11</v>
      </c>
      <c r="N8" s="48">
        <f t="shared" si="7"/>
        <v>66</v>
      </c>
      <c r="O8" s="42"/>
      <c r="P8" s="42"/>
      <c r="Q8" s="42"/>
      <c r="R8" s="42"/>
      <c r="S8" s="42"/>
      <c r="T8" s="42"/>
      <c r="U8" s="42"/>
      <c r="V8" s="42"/>
      <c r="W8" s="41"/>
      <c r="X8" s="41"/>
      <c r="Y8" s="41"/>
      <c r="Z8" s="41"/>
    </row>
    <row r="9" ht="15.75" customHeight="1">
      <c r="A9" s="43"/>
      <c r="B9" s="41"/>
      <c r="C9" s="41"/>
      <c r="D9" s="41"/>
      <c r="E9" s="41"/>
      <c r="F9" s="41"/>
      <c r="G9" s="41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1"/>
      <c r="X9" s="41"/>
      <c r="Y9" s="41"/>
      <c r="Z9" s="41"/>
    </row>
    <row r="10" ht="15.75" customHeight="1">
      <c r="A10" s="28" t="s">
        <v>20</v>
      </c>
      <c r="B10" s="28" t="s">
        <v>73</v>
      </c>
      <c r="C10" s="28" t="s">
        <v>74</v>
      </c>
      <c r="D10" s="28" t="s">
        <v>75</v>
      </c>
      <c r="E10" s="28" t="s">
        <v>76</v>
      </c>
      <c r="F10" s="28" t="s">
        <v>77</v>
      </c>
      <c r="G10" s="28" t="s">
        <v>78</v>
      </c>
      <c r="H10" s="29" t="s">
        <v>45</v>
      </c>
      <c r="I10" s="30"/>
      <c r="J10" s="30"/>
      <c r="K10" s="30"/>
      <c r="L10" s="6"/>
      <c r="M10" s="29" t="s">
        <v>46</v>
      </c>
      <c r="N10" s="30"/>
      <c r="O10" s="30"/>
      <c r="P10" s="30"/>
      <c r="Q10" s="6"/>
      <c r="R10" s="29" t="s">
        <v>47</v>
      </c>
      <c r="S10" s="30"/>
      <c r="T10" s="30"/>
      <c r="U10" s="30"/>
      <c r="V10" s="6"/>
      <c r="W10" s="28" t="s">
        <v>27</v>
      </c>
      <c r="X10" s="12"/>
      <c r="Y10" s="12"/>
      <c r="Z10" s="12"/>
    </row>
    <row r="11" ht="15.75" customHeight="1">
      <c r="A11" s="32"/>
      <c r="B11" s="32"/>
      <c r="C11" s="32"/>
      <c r="D11" s="32"/>
      <c r="E11" s="32"/>
      <c r="F11" s="32"/>
      <c r="G11" s="32"/>
      <c r="H11" s="29" t="s">
        <v>79</v>
      </c>
      <c r="I11" s="30"/>
      <c r="J11" s="6"/>
      <c r="K11" s="28" t="s">
        <v>80</v>
      </c>
      <c r="L11" s="28" t="s">
        <v>81</v>
      </c>
      <c r="M11" s="29" t="s">
        <v>79</v>
      </c>
      <c r="N11" s="30"/>
      <c r="O11" s="6"/>
      <c r="P11" s="28" t="s">
        <v>80</v>
      </c>
      <c r="Q11" s="28" t="s">
        <v>81</v>
      </c>
      <c r="R11" s="29" t="s">
        <v>79</v>
      </c>
      <c r="S11" s="30"/>
      <c r="T11" s="6"/>
      <c r="U11" s="28" t="s">
        <v>80</v>
      </c>
      <c r="V11" s="28" t="s">
        <v>81</v>
      </c>
      <c r="W11" s="32"/>
      <c r="X11" s="41"/>
      <c r="Y11" s="41"/>
      <c r="Z11" s="41"/>
    </row>
    <row r="12" ht="15.75" customHeight="1">
      <c r="A12" s="34"/>
      <c r="B12" s="34"/>
      <c r="C12" s="34"/>
      <c r="D12" s="34"/>
      <c r="E12" s="34"/>
      <c r="F12" s="34"/>
      <c r="G12" s="34"/>
      <c r="H12" s="45" t="s">
        <v>48</v>
      </c>
      <c r="I12" s="45" t="s">
        <v>49</v>
      </c>
      <c r="J12" s="13" t="s">
        <v>82</v>
      </c>
      <c r="K12" s="34"/>
      <c r="L12" s="34"/>
      <c r="M12" s="45" t="s">
        <v>48</v>
      </c>
      <c r="N12" s="45" t="s">
        <v>49</v>
      </c>
      <c r="O12" s="13" t="s">
        <v>82</v>
      </c>
      <c r="P12" s="34"/>
      <c r="Q12" s="34"/>
      <c r="R12" s="45" t="s">
        <v>48</v>
      </c>
      <c r="S12" s="45" t="s">
        <v>49</v>
      </c>
      <c r="T12" s="13" t="s">
        <v>82</v>
      </c>
      <c r="U12" s="34"/>
      <c r="V12" s="34"/>
      <c r="W12" s="34"/>
      <c r="X12" s="41"/>
      <c r="Y12" s="41"/>
      <c r="Z12" s="41"/>
    </row>
    <row r="13" ht="38.25" customHeight="1">
      <c r="A13" s="17" t="str">
        <f t="shared" ref="A13:A23" si="15">"ID-00"&amp;(ROW()-(ROW($A$12)))</f>
        <v>ID-001</v>
      </c>
      <c r="B13" s="22" t="s">
        <v>137</v>
      </c>
      <c r="C13" s="22" t="s">
        <v>417</v>
      </c>
      <c r="D13" s="22" t="s">
        <v>418</v>
      </c>
      <c r="E13" s="22" t="s">
        <v>419</v>
      </c>
      <c r="F13" s="22" t="s">
        <v>420</v>
      </c>
      <c r="G13" s="22" t="s">
        <v>421</v>
      </c>
      <c r="H13" s="21" t="s">
        <v>51</v>
      </c>
      <c r="I13" s="21" t="s">
        <v>51</v>
      </c>
      <c r="J13" s="21" t="s">
        <v>422</v>
      </c>
      <c r="K13" s="35" t="s">
        <v>89</v>
      </c>
      <c r="L13" s="21" t="s">
        <v>423</v>
      </c>
      <c r="M13" s="21" t="s">
        <v>51</v>
      </c>
      <c r="N13" s="21" t="s">
        <v>51</v>
      </c>
      <c r="O13" s="21" t="s">
        <v>422</v>
      </c>
      <c r="P13" s="35" t="s">
        <v>91</v>
      </c>
      <c r="Q13" s="21" t="s">
        <v>423</v>
      </c>
      <c r="R13" s="21" t="s">
        <v>50</v>
      </c>
      <c r="S13" s="21" t="s">
        <v>50</v>
      </c>
      <c r="T13" s="21" t="s">
        <v>88</v>
      </c>
      <c r="U13" s="35" t="s">
        <v>53</v>
      </c>
      <c r="V13" s="21" t="s">
        <v>423</v>
      </c>
      <c r="W13" s="7"/>
      <c r="X13" s="41"/>
      <c r="Y13" s="41"/>
      <c r="Z13" s="41"/>
    </row>
    <row r="14" ht="34.5" customHeight="1">
      <c r="A14" s="17" t="str">
        <f t="shared" si="15"/>
        <v>ID-002</v>
      </c>
      <c r="B14" s="22" t="s">
        <v>143</v>
      </c>
      <c r="C14" s="22" t="s">
        <v>424</v>
      </c>
      <c r="D14" s="22" t="s">
        <v>425</v>
      </c>
      <c r="E14" s="22" t="s">
        <v>426</v>
      </c>
      <c r="F14" s="22" t="s">
        <v>427</v>
      </c>
      <c r="G14" s="22" t="s">
        <v>428</v>
      </c>
      <c r="H14" s="21" t="s">
        <v>50</v>
      </c>
      <c r="I14" s="21" t="s">
        <v>50</v>
      </c>
      <c r="J14" s="21" t="s">
        <v>88</v>
      </c>
      <c r="K14" s="35" t="s">
        <v>89</v>
      </c>
      <c r="L14" s="21" t="s">
        <v>423</v>
      </c>
      <c r="M14" s="21" t="s">
        <v>50</v>
      </c>
      <c r="N14" s="21" t="s">
        <v>50</v>
      </c>
      <c r="O14" s="21" t="s">
        <v>88</v>
      </c>
      <c r="P14" s="35" t="s">
        <v>91</v>
      </c>
      <c r="Q14" s="21" t="s">
        <v>423</v>
      </c>
      <c r="R14" s="21" t="s">
        <v>50</v>
      </c>
      <c r="S14" s="21" t="s">
        <v>50</v>
      </c>
      <c r="T14" s="21" t="s">
        <v>88</v>
      </c>
      <c r="U14" s="35" t="s">
        <v>53</v>
      </c>
      <c r="V14" s="21" t="s">
        <v>423</v>
      </c>
      <c r="W14" s="7"/>
      <c r="X14" s="41"/>
      <c r="Y14" s="41"/>
      <c r="Z14" s="41"/>
    </row>
    <row r="15" ht="30.75" customHeight="1">
      <c r="A15" s="17" t="str">
        <f t="shared" si="15"/>
        <v>ID-003</v>
      </c>
      <c r="B15" s="22" t="s">
        <v>143</v>
      </c>
      <c r="C15" s="22" t="s">
        <v>429</v>
      </c>
      <c r="D15" s="22" t="s">
        <v>430</v>
      </c>
      <c r="E15" s="22" t="s">
        <v>431</v>
      </c>
      <c r="F15" s="22" t="s">
        <v>432</v>
      </c>
      <c r="G15" s="22" t="s">
        <v>433</v>
      </c>
      <c r="H15" s="21" t="s">
        <v>50</v>
      </c>
      <c r="I15" s="21" t="s">
        <v>50</v>
      </c>
      <c r="J15" s="21" t="s">
        <v>88</v>
      </c>
      <c r="K15" s="35" t="s">
        <v>89</v>
      </c>
      <c r="L15" s="21" t="s">
        <v>423</v>
      </c>
      <c r="M15" s="21" t="s">
        <v>51</v>
      </c>
      <c r="N15" s="21" t="s">
        <v>51</v>
      </c>
      <c r="O15" s="21" t="s">
        <v>88</v>
      </c>
      <c r="P15" s="35" t="s">
        <v>91</v>
      </c>
      <c r="Q15" s="21" t="s">
        <v>423</v>
      </c>
      <c r="R15" s="21" t="s">
        <v>50</v>
      </c>
      <c r="S15" s="21" t="s">
        <v>50</v>
      </c>
      <c r="T15" s="21" t="s">
        <v>88</v>
      </c>
      <c r="U15" s="35" t="s">
        <v>53</v>
      </c>
      <c r="V15" s="21" t="s">
        <v>423</v>
      </c>
      <c r="W15" s="7"/>
      <c r="X15" s="41"/>
      <c r="Y15" s="41"/>
      <c r="Z15" s="41"/>
    </row>
    <row r="16" ht="31.5" customHeight="1">
      <c r="A16" s="17" t="str">
        <f t="shared" si="15"/>
        <v>ID-004</v>
      </c>
      <c r="B16" s="22" t="s">
        <v>137</v>
      </c>
      <c r="C16" s="22" t="s">
        <v>434</v>
      </c>
      <c r="D16" s="22" t="s">
        <v>430</v>
      </c>
      <c r="E16" s="22" t="s">
        <v>435</v>
      </c>
      <c r="F16" s="22" t="s">
        <v>436</v>
      </c>
      <c r="G16" s="22" t="s">
        <v>437</v>
      </c>
      <c r="H16" s="21" t="s">
        <v>50</v>
      </c>
      <c r="I16" s="16" t="s">
        <v>50</v>
      </c>
      <c r="J16" s="21" t="s">
        <v>88</v>
      </c>
      <c r="K16" s="35" t="s">
        <v>89</v>
      </c>
      <c r="L16" s="21" t="s">
        <v>423</v>
      </c>
      <c r="M16" s="21" t="s">
        <v>51</v>
      </c>
      <c r="N16" s="21" t="s">
        <v>51</v>
      </c>
      <c r="O16" s="21" t="s">
        <v>88</v>
      </c>
      <c r="P16" s="35" t="s">
        <v>91</v>
      </c>
      <c r="Q16" s="21" t="s">
        <v>423</v>
      </c>
      <c r="R16" s="21" t="s">
        <v>50</v>
      </c>
      <c r="S16" s="21" t="s">
        <v>50</v>
      </c>
      <c r="T16" s="21" t="s">
        <v>88</v>
      </c>
      <c r="U16" s="35" t="s">
        <v>53</v>
      </c>
      <c r="V16" s="21" t="s">
        <v>423</v>
      </c>
      <c r="W16" s="7"/>
      <c r="X16" s="41"/>
      <c r="Y16" s="41"/>
      <c r="Z16" s="41"/>
    </row>
    <row r="17" ht="33.75" customHeight="1">
      <c r="A17" s="17" t="str">
        <f t="shared" si="15"/>
        <v>ID-005</v>
      </c>
      <c r="B17" s="22" t="s">
        <v>137</v>
      </c>
      <c r="C17" s="22" t="s">
        <v>438</v>
      </c>
      <c r="D17" s="22" t="s">
        <v>430</v>
      </c>
      <c r="E17" s="22" t="s">
        <v>439</v>
      </c>
      <c r="F17" s="22" t="s">
        <v>440</v>
      </c>
      <c r="G17" s="22" t="s">
        <v>441</v>
      </c>
      <c r="H17" s="21" t="s">
        <v>50</v>
      </c>
      <c r="I17" s="21" t="s">
        <v>50</v>
      </c>
      <c r="J17" s="21" t="s">
        <v>88</v>
      </c>
      <c r="K17" s="35" t="s">
        <v>89</v>
      </c>
      <c r="L17" s="21" t="s">
        <v>423</v>
      </c>
      <c r="M17" s="21" t="s">
        <v>50</v>
      </c>
      <c r="N17" s="21" t="s">
        <v>50</v>
      </c>
      <c r="O17" s="21" t="s">
        <v>88</v>
      </c>
      <c r="P17" s="35" t="s">
        <v>91</v>
      </c>
      <c r="Q17" s="21" t="s">
        <v>423</v>
      </c>
      <c r="R17" s="21" t="s">
        <v>50</v>
      </c>
      <c r="S17" s="21" t="s">
        <v>50</v>
      </c>
      <c r="T17" s="21" t="s">
        <v>88</v>
      </c>
      <c r="U17" s="35" t="s">
        <v>53</v>
      </c>
      <c r="V17" s="21" t="s">
        <v>423</v>
      </c>
      <c r="W17" s="7"/>
      <c r="X17" s="41"/>
      <c r="Y17" s="41"/>
      <c r="Z17" s="41"/>
    </row>
    <row r="18" ht="30.75" customHeight="1">
      <c r="A18" s="17" t="str">
        <f t="shared" si="15"/>
        <v>ID-006</v>
      </c>
      <c r="B18" s="22" t="s">
        <v>137</v>
      </c>
      <c r="C18" s="22" t="s">
        <v>442</v>
      </c>
      <c r="D18" s="22" t="s">
        <v>443</v>
      </c>
      <c r="E18" s="22" t="s">
        <v>444</v>
      </c>
      <c r="F18" s="22" t="s">
        <v>445</v>
      </c>
      <c r="G18" s="22" t="s">
        <v>446</v>
      </c>
      <c r="H18" s="21" t="s">
        <v>50</v>
      </c>
      <c r="I18" s="21" t="s">
        <v>50</v>
      </c>
      <c r="J18" s="21" t="s">
        <v>88</v>
      </c>
      <c r="K18" s="35" t="s">
        <v>89</v>
      </c>
      <c r="L18" s="21" t="s">
        <v>423</v>
      </c>
      <c r="M18" s="21" t="s">
        <v>50</v>
      </c>
      <c r="N18" s="21" t="s">
        <v>50</v>
      </c>
      <c r="O18" s="21" t="s">
        <v>88</v>
      </c>
      <c r="P18" s="35" t="s">
        <v>91</v>
      </c>
      <c r="Q18" s="21" t="s">
        <v>423</v>
      </c>
      <c r="R18" s="21" t="s">
        <v>50</v>
      </c>
      <c r="S18" s="21" t="s">
        <v>50</v>
      </c>
      <c r="T18" s="21" t="s">
        <v>88</v>
      </c>
      <c r="U18" s="35" t="s">
        <v>53</v>
      </c>
      <c r="V18" s="21" t="s">
        <v>423</v>
      </c>
      <c r="W18" s="7"/>
      <c r="X18" s="41"/>
      <c r="Y18" s="41"/>
      <c r="Z18" s="41"/>
    </row>
    <row r="19" ht="45.75" customHeight="1">
      <c r="A19" s="17" t="str">
        <f t="shared" si="15"/>
        <v>ID-007</v>
      </c>
      <c r="B19" s="22" t="s">
        <v>143</v>
      </c>
      <c r="C19" s="22" t="s">
        <v>447</v>
      </c>
      <c r="D19" s="22" t="s">
        <v>448</v>
      </c>
      <c r="E19" s="22" t="s">
        <v>449</v>
      </c>
      <c r="F19" s="22" t="s">
        <v>450</v>
      </c>
      <c r="G19" s="22" t="s">
        <v>451</v>
      </c>
      <c r="H19" s="21" t="s">
        <v>50</v>
      </c>
      <c r="I19" s="21" t="s">
        <v>50</v>
      </c>
      <c r="J19" s="21" t="s">
        <v>88</v>
      </c>
      <c r="K19" s="35" t="s">
        <v>89</v>
      </c>
      <c r="L19" s="21" t="s">
        <v>423</v>
      </c>
      <c r="M19" s="21" t="s">
        <v>50</v>
      </c>
      <c r="N19" s="21" t="s">
        <v>50</v>
      </c>
      <c r="O19" s="21" t="s">
        <v>88</v>
      </c>
      <c r="P19" s="35" t="s">
        <v>91</v>
      </c>
      <c r="Q19" s="21" t="s">
        <v>423</v>
      </c>
      <c r="R19" s="21" t="s">
        <v>50</v>
      </c>
      <c r="S19" s="21" t="s">
        <v>50</v>
      </c>
      <c r="T19" s="21" t="s">
        <v>88</v>
      </c>
      <c r="U19" s="35" t="s">
        <v>53</v>
      </c>
      <c r="V19" s="21" t="s">
        <v>423</v>
      </c>
      <c r="W19" s="7"/>
      <c r="X19" s="41"/>
      <c r="Y19" s="41"/>
      <c r="Z19" s="41"/>
    </row>
    <row r="20" ht="30.75" customHeight="1">
      <c r="A20" s="17" t="str">
        <f t="shared" si="15"/>
        <v>ID-008</v>
      </c>
      <c r="B20" s="22" t="s">
        <v>452</v>
      </c>
      <c r="C20" s="22" t="s">
        <v>453</v>
      </c>
      <c r="D20" s="22" t="s">
        <v>448</v>
      </c>
      <c r="E20" s="22" t="s">
        <v>454</v>
      </c>
      <c r="F20" s="22" t="s">
        <v>455</v>
      </c>
      <c r="G20" s="22" t="s">
        <v>456</v>
      </c>
      <c r="H20" s="21" t="s">
        <v>50</v>
      </c>
      <c r="I20" s="21" t="s">
        <v>50</v>
      </c>
      <c r="J20" s="21" t="s">
        <v>88</v>
      </c>
      <c r="K20" s="35" t="s">
        <v>89</v>
      </c>
      <c r="L20" s="21" t="s">
        <v>423</v>
      </c>
      <c r="M20" s="21" t="s">
        <v>51</v>
      </c>
      <c r="N20" s="21" t="s">
        <v>51</v>
      </c>
      <c r="O20" s="21" t="s">
        <v>88</v>
      </c>
      <c r="P20" s="35" t="s">
        <v>91</v>
      </c>
      <c r="Q20" s="21" t="s">
        <v>423</v>
      </c>
      <c r="R20" s="21" t="s">
        <v>50</v>
      </c>
      <c r="S20" s="21" t="s">
        <v>50</v>
      </c>
      <c r="T20" s="21" t="s">
        <v>88</v>
      </c>
      <c r="U20" s="35" t="s">
        <v>53</v>
      </c>
      <c r="V20" s="21" t="s">
        <v>423</v>
      </c>
      <c r="W20" s="7"/>
      <c r="X20" s="41"/>
      <c r="Y20" s="41"/>
      <c r="Z20" s="41"/>
    </row>
    <row r="21" ht="38.25" customHeight="1">
      <c r="A21" s="17" t="str">
        <f t="shared" si="15"/>
        <v>ID-009</v>
      </c>
      <c r="B21" s="22" t="s">
        <v>143</v>
      </c>
      <c r="C21" s="22" t="s">
        <v>457</v>
      </c>
      <c r="D21" s="22" t="s">
        <v>448</v>
      </c>
      <c r="E21" s="22" t="s">
        <v>458</v>
      </c>
      <c r="F21" s="22" t="s">
        <v>459</v>
      </c>
      <c r="G21" s="22" t="s">
        <v>460</v>
      </c>
      <c r="H21" s="21" t="s">
        <v>50</v>
      </c>
      <c r="I21" s="21" t="s">
        <v>50</v>
      </c>
      <c r="J21" s="21" t="s">
        <v>88</v>
      </c>
      <c r="K21" s="35" t="s">
        <v>89</v>
      </c>
      <c r="L21" s="21" t="s">
        <v>423</v>
      </c>
      <c r="M21" s="21" t="s">
        <v>50</v>
      </c>
      <c r="N21" s="21" t="s">
        <v>50</v>
      </c>
      <c r="O21" s="21" t="s">
        <v>88</v>
      </c>
      <c r="P21" s="35" t="s">
        <v>91</v>
      </c>
      <c r="Q21" s="21" t="s">
        <v>423</v>
      </c>
      <c r="R21" s="21" t="s">
        <v>50</v>
      </c>
      <c r="S21" s="21" t="s">
        <v>50</v>
      </c>
      <c r="T21" s="21" t="s">
        <v>88</v>
      </c>
      <c r="U21" s="35" t="s">
        <v>53</v>
      </c>
      <c r="V21" s="21" t="s">
        <v>423</v>
      </c>
      <c r="W21" s="7"/>
      <c r="X21" s="41"/>
      <c r="Y21" s="41"/>
      <c r="Z21" s="41"/>
    </row>
    <row r="22" ht="42.0" customHeight="1">
      <c r="A22" s="17" t="str">
        <f t="shared" si="15"/>
        <v>ID-0010</v>
      </c>
      <c r="B22" s="22" t="s">
        <v>143</v>
      </c>
      <c r="C22" s="22" t="s">
        <v>424</v>
      </c>
      <c r="D22" s="22" t="s">
        <v>461</v>
      </c>
      <c r="E22" s="22" t="s">
        <v>462</v>
      </c>
      <c r="F22" s="22" t="s">
        <v>463</v>
      </c>
      <c r="G22" s="22" t="s">
        <v>464</v>
      </c>
      <c r="H22" s="21" t="s">
        <v>50</v>
      </c>
      <c r="I22" s="21" t="s">
        <v>50</v>
      </c>
      <c r="J22" s="21" t="s">
        <v>88</v>
      </c>
      <c r="K22" s="35" t="s">
        <v>89</v>
      </c>
      <c r="L22" s="21" t="s">
        <v>423</v>
      </c>
      <c r="M22" s="21" t="s">
        <v>50</v>
      </c>
      <c r="N22" s="21" t="s">
        <v>50</v>
      </c>
      <c r="O22" s="21" t="s">
        <v>88</v>
      </c>
      <c r="P22" s="35" t="s">
        <v>91</v>
      </c>
      <c r="Q22" s="21" t="s">
        <v>423</v>
      </c>
      <c r="R22" s="21" t="s">
        <v>50</v>
      </c>
      <c r="S22" s="21" t="s">
        <v>50</v>
      </c>
      <c r="T22" s="21" t="s">
        <v>88</v>
      </c>
      <c r="U22" s="35" t="s">
        <v>53</v>
      </c>
      <c r="V22" s="21" t="s">
        <v>423</v>
      </c>
      <c r="W22" s="7"/>
      <c r="X22" s="41"/>
      <c r="Y22" s="41"/>
      <c r="Z22" s="41"/>
    </row>
    <row r="23" ht="31.5" customHeight="1">
      <c r="A23" s="17" t="str">
        <f t="shared" si="15"/>
        <v>ID-0011</v>
      </c>
      <c r="B23" s="22" t="s">
        <v>143</v>
      </c>
      <c r="C23" s="22" t="s">
        <v>465</v>
      </c>
      <c r="D23" s="22" t="s">
        <v>448</v>
      </c>
      <c r="E23" s="22" t="s">
        <v>466</v>
      </c>
      <c r="F23" s="22" t="s">
        <v>467</v>
      </c>
      <c r="G23" s="22" t="s">
        <v>468</v>
      </c>
      <c r="H23" s="21" t="s">
        <v>50</v>
      </c>
      <c r="I23" s="21" t="s">
        <v>50</v>
      </c>
      <c r="J23" s="21" t="s">
        <v>88</v>
      </c>
      <c r="K23" s="35" t="s">
        <v>89</v>
      </c>
      <c r="L23" s="21" t="s">
        <v>423</v>
      </c>
      <c r="M23" s="21" t="s">
        <v>51</v>
      </c>
      <c r="N23" s="21" t="s">
        <v>51</v>
      </c>
      <c r="O23" s="21" t="s">
        <v>88</v>
      </c>
      <c r="P23" s="35" t="s">
        <v>91</v>
      </c>
      <c r="Q23" s="21" t="s">
        <v>423</v>
      </c>
      <c r="R23" s="21" t="s">
        <v>50</v>
      </c>
      <c r="S23" s="21" t="s">
        <v>50</v>
      </c>
      <c r="T23" s="21" t="s">
        <v>88</v>
      </c>
      <c r="U23" s="35" t="s">
        <v>53</v>
      </c>
      <c r="V23" s="21" t="s">
        <v>423</v>
      </c>
      <c r="W23" s="7"/>
      <c r="X23" s="41"/>
      <c r="Y23" s="41"/>
      <c r="Z23" s="41"/>
    </row>
    <row r="24" ht="15.75" customHeight="1">
      <c r="A24" s="43"/>
      <c r="B24" s="41"/>
      <c r="C24" s="41"/>
      <c r="D24" s="41"/>
      <c r="E24" s="41"/>
      <c r="F24" s="41"/>
      <c r="G24" s="41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1"/>
      <c r="X24" s="41"/>
      <c r="Y24" s="41"/>
      <c r="Z24" s="41"/>
    </row>
    <row r="25" ht="15.75" customHeight="1">
      <c r="A25" s="43"/>
      <c r="B25" s="41"/>
      <c r="C25" s="41"/>
      <c r="D25" s="41"/>
      <c r="E25" s="41"/>
      <c r="F25" s="41"/>
      <c r="G25" s="41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1"/>
      <c r="X25" s="41"/>
      <c r="Y25" s="41"/>
      <c r="Z25" s="41"/>
    </row>
    <row r="26" ht="15.75" customHeight="1">
      <c r="A26" s="43"/>
      <c r="B26" s="41"/>
      <c r="C26" s="41"/>
      <c r="D26" s="41"/>
      <c r="E26" s="41"/>
      <c r="F26" s="41"/>
      <c r="G26" s="41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1"/>
      <c r="X26" s="41"/>
      <c r="Y26" s="41"/>
      <c r="Z26" s="41"/>
    </row>
    <row r="27" ht="15.75" customHeight="1">
      <c r="A27" s="43"/>
      <c r="B27" s="41"/>
      <c r="C27" s="41"/>
      <c r="D27" s="41"/>
      <c r="E27" s="41"/>
      <c r="F27" s="41"/>
      <c r="G27" s="41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1"/>
      <c r="X27" s="41"/>
      <c r="Y27" s="41"/>
      <c r="Z27" s="41"/>
    </row>
    <row r="28" ht="15.75" customHeight="1">
      <c r="A28" s="43"/>
      <c r="B28" s="41"/>
      <c r="C28" s="41"/>
      <c r="D28" s="41"/>
      <c r="E28" s="41"/>
      <c r="F28" s="41"/>
      <c r="G28" s="41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1"/>
      <c r="X28" s="41"/>
      <c r="Y28" s="41"/>
      <c r="Z28" s="41"/>
    </row>
    <row r="29" ht="15.75" customHeight="1">
      <c r="A29" s="43"/>
      <c r="B29" s="41"/>
      <c r="C29" s="41"/>
      <c r="D29" s="41"/>
      <c r="E29" s="41"/>
      <c r="F29" s="41"/>
      <c r="G29" s="41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1"/>
      <c r="X29" s="41"/>
      <c r="Y29" s="41"/>
      <c r="Z29" s="41"/>
    </row>
    <row r="30" ht="15.75" customHeight="1">
      <c r="A30" s="43"/>
      <c r="B30" s="41"/>
      <c r="C30" s="41"/>
      <c r="D30" s="41"/>
      <c r="E30" s="41"/>
      <c r="F30" s="41"/>
      <c r="G30" s="41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1"/>
      <c r="X30" s="41"/>
      <c r="Y30" s="41"/>
      <c r="Z30" s="41"/>
    </row>
    <row r="31" ht="15.75" customHeight="1">
      <c r="A31" s="43"/>
      <c r="B31" s="41"/>
      <c r="C31" s="41"/>
      <c r="D31" s="41"/>
      <c r="E31" s="41"/>
      <c r="F31" s="41"/>
      <c r="G31" s="4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1"/>
      <c r="X31" s="41"/>
      <c r="Y31" s="41"/>
      <c r="Z31" s="41"/>
    </row>
    <row r="32" ht="15.75" customHeight="1">
      <c r="A32" s="43"/>
      <c r="B32" s="41"/>
      <c r="C32" s="41"/>
      <c r="D32" s="41"/>
      <c r="E32" s="41"/>
      <c r="F32" s="41"/>
      <c r="G32" s="41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1"/>
      <c r="X32" s="41"/>
      <c r="Y32" s="41"/>
      <c r="Z32" s="41"/>
    </row>
    <row r="33" ht="15.75" customHeight="1">
      <c r="A33" s="43"/>
      <c r="B33" s="41"/>
      <c r="C33" s="41"/>
      <c r="D33" s="41"/>
      <c r="E33" s="41"/>
      <c r="F33" s="41"/>
      <c r="G33" s="41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1"/>
      <c r="X33" s="41"/>
      <c r="Y33" s="41"/>
      <c r="Z33" s="41"/>
    </row>
    <row r="34" ht="15.75" customHeight="1">
      <c r="A34" s="43"/>
      <c r="B34" s="41"/>
      <c r="C34" s="41"/>
      <c r="D34" s="41"/>
      <c r="E34" s="41"/>
      <c r="F34" s="41"/>
      <c r="G34" s="41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1"/>
      <c r="X34" s="41"/>
      <c r="Y34" s="41"/>
      <c r="Z34" s="41"/>
    </row>
    <row r="35" ht="15.75" customHeight="1">
      <c r="A35" s="43"/>
      <c r="B35" s="41"/>
      <c r="C35" s="41"/>
      <c r="D35" s="41"/>
      <c r="E35" s="41"/>
      <c r="F35" s="41"/>
      <c r="G35" s="41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1"/>
      <c r="X35" s="41"/>
      <c r="Y35" s="41"/>
      <c r="Z35" s="41"/>
    </row>
    <row r="36" ht="15.75" customHeight="1">
      <c r="A36" s="43"/>
      <c r="B36" s="41"/>
      <c r="C36" s="41"/>
      <c r="D36" s="41"/>
      <c r="E36" s="41"/>
      <c r="F36" s="41"/>
      <c r="G36" s="41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1"/>
      <c r="X36" s="41"/>
      <c r="Y36" s="41"/>
      <c r="Z36" s="41"/>
    </row>
    <row r="37" ht="15.75" customHeight="1">
      <c r="A37" s="43"/>
      <c r="B37" s="41"/>
      <c r="C37" s="41"/>
      <c r="D37" s="41"/>
      <c r="E37" s="41"/>
      <c r="F37" s="41"/>
      <c r="G37" s="41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1"/>
      <c r="X37" s="41"/>
      <c r="Y37" s="41"/>
      <c r="Z37" s="41"/>
    </row>
    <row r="38" ht="15.75" customHeight="1">
      <c r="A38" s="43"/>
      <c r="B38" s="41"/>
      <c r="C38" s="41"/>
      <c r="D38" s="41"/>
      <c r="E38" s="41"/>
      <c r="F38" s="41"/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1"/>
      <c r="X38" s="41"/>
      <c r="Y38" s="41"/>
      <c r="Z38" s="41"/>
    </row>
    <row r="39" ht="15.75" customHeight="1">
      <c r="A39" s="43"/>
      <c r="B39" s="41"/>
      <c r="C39" s="41"/>
      <c r="D39" s="41"/>
      <c r="E39" s="41"/>
      <c r="F39" s="41"/>
      <c r="G39" s="41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1"/>
      <c r="X39" s="41"/>
      <c r="Y39" s="41"/>
      <c r="Z39" s="41"/>
    </row>
    <row r="40" ht="15.75" customHeight="1">
      <c r="A40" s="43"/>
      <c r="B40" s="41"/>
      <c r="C40" s="41"/>
      <c r="D40" s="41"/>
      <c r="E40" s="41"/>
      <c r="F40" s="41"/>
      <c r="G40" s="41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1"/>
      <c r="X40" s="41"/>
      <c r="Y40" s="41"/>
      <c r="Z40" s="41"/>
    </row>
    <row r="41" ht="15.75" customHeight="1">
      <c r="A41" s="43"/>
      <c r="B41" s="41"/>
      <c r="C41" s="41"/>
      <c r="D41" s="41"/>
      <c r="E41" s="4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1"/>
      <c r="X41" s="41"/>
      <c r="Y41" s="41"/>
      <c r="Z41" s="41"/>
    </row>
    <row r="42" ht="15.75" customHeight="1">
      <c r="A42" s="43"/>
      <c r="B42" s="41"/>
      <c r="C42" s="41"/>
      <c r="D42" s="41"/>
      <c r="E42" s="41"/>
      <c r="F42" s="41"/>
      <c r="G42" s="41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1"/>
      <c r="X42" s="41"/>
      <c r="Y42" s="41"/>
      <c r="Z42" s="41"/>
    </row>
    <row r="43" ht="15.75" customHeight="1">
      <c r="A43" s="43"/>
      <c r="B43" s="41"/>
      <c r="C43" s="41"/>
      <c r="D43" s="41"/>
      <c r="E43" s="41"/>
      <c r="F43" s="41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1"/>
      <c r="X43" s="41"/>
      <c r="Y43" s="41"/>
      <c r="Z43" s="41"/>
    </row>
    <row r="44" ht="15.75" customHeight="1">
      <c r="A44" s="43"/>
      <c r="B44" s="41"/>
      <c r="C44" s="41"/>
      <c r="D44" s="41"/>
      <c r="E44" s="41"/>
      <c r="F44" s="41"/>
      <c r="G44" s="41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1"/>
      <c r="X44" s="41"/>
      <c r="Y44" s="41"/>
      <c r="Z44" s="41"/>
    </row>
    <row r="45" ht="15.75" customHeight="1">
      <c r="A45" s="43"/>
      <c r="B45" s="41"/>
      <c r="C45" s="41"/>
      <c r="D45" s="41"/>
      <c r="E45" s="4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1"/>
      <c r="X45" s="41"/>
      <c r="Y45" s="41"/>
      <c r="Z45" s="41"/>
    </row>
    <row r="46" ht="15.75" customHeight="1">
      <c r="A46" s="43"/>
      <c r="B46" s="41"/>
      <c r="C46" s="41"/>
      <c r="D46" s="41"/>
      <c r="E46" s="41"/>
      <c r="F46" s="41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1"/>
      <c r="X46" s="41"/>
      <c r="Y46" s="41"/>
      <c r="Z46" s="41"/>
    </row>
    <row r="47" ht="15.75" customHeight="1">
      <c r="A47" s="43"/>
      <c r="B47" s="41"/>
      <c r="C47" s="41"/>
      <c r="D47" s="41"/>
      <c r="E47" s="41"/>
      <c r="F47" s="41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1"/>
      <c r="X47" s="41"/>
      <c r="Y47" s="41"/>
      <c r="Z47" s="41"/>
    </row>
    <row r="48" ht="15.75" customHeight="1">
      <c r="A48" s="43"/>
      <c r="B48" s="41"/>
      <c r="C48" s="41"/>
      <c r="D48" s="41"/>
      <c r="E48" s="41"/>
      <c r="F48" s="41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1"/>
      <c r="X48" s="41"/>
      <c r="Y48" s="41"/>
      <c r="Z48" s="41"/>
    </row>
    <row r="49" ht="15.75" customHeight="1">
      <c r="A49" s="43"/>
      <c r="B49" s="41"/>
      <c r="C49" s="41"/>
      <c r="D49" s="41"/>
      <c r="E49" s="41"/>
      <c r="F49" s="41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1"/>
      <c r="X49" s="41"/>
      <c r="Y49" s="41"/>
      <c r="Z49" s="41"/>
    </row>
    <row r="50" ht="15.75" customHeight="1">
      <c r="A50" s="43"/>
      <c r="B50" s="41"/>
      <c r="C50" s="41"/>
      <c r="D50" s="41"/>
      <c r="E50" s="41"/>
      <c r="F50" s="41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1"/>
      <c r="X50" s="41"/>
      <c r="Y50" s="41"/>
      <c r="Z50" s="41"/>
    </row>
    <row r="51" ht="15.75" customHeight="1">
      <c r="A51" s="43"/>
      <c r="B51" s="41"/>
      <c r="C51" s="41"/>
      <c r="D51" s="41"/>
      <c r="E51" s="41"/>
      <c r="F51" s="41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1"/>
      <c r="X51" s="41"/>
      <c r="Y51" s="41"/>
      <c r="Z51" s="41"/>
    </row>
    <row r="52" ht="15.75" customHeight="1">
      <c r="A52" s="43"/>
      <c r="B52" s="41"/>
      <c r="C52" s="41"/>
      <c r="D52" s="41"/>
      <c r="E52" s="41"/>
      <c r="F52" s="41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1"/>
      <c r="X52" s="41"/>
      <c r="Y52" s="41"/>
      <c r="Z52" s="41"/>
    </row>
    <row r="53" ht="15.75" customHeight="1">
      <c r="A53" s="43"/>
      <c r="B53" s="41"/>
      <c r="C53" s="41"/>
      <c r="D53" s="41"/>
      <c r="E53" s="41"/>
      <c r="F53" s="41"/>
      <c r="G53" s="41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1"/>
      <c r="X53" s="41"/>
      <c r="Y53" s="41"/>
      <c r="Z53" s="41"/>
    </row>
    <row r="54" ht="15.75" customHeight="1">
      <c r="A54" s="43"/>
      <c r="B54" s="41"/>
      <c r="C54" s="41"/>
      <c r="D54" s="41"/>
      <c r="E54" s="41"/>
      <c r="F54" s="41"/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1"/>
      <c r="X54" s="41"/>
      <c r="Y54" s="41"/>
      <c r="Z54" s="41"/>
    </row>
    <row r="55" ht="15.75" customHeight="1">
      <c r="A55" s="43"/>
      <c r="B55" s="41"/>
      <c r="C55" s="41"/>
      <c r="D55" s="41"/>
      <c r="E55" s="41"/>
      <c r="F55" s="41"/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1"/>
      <c r="X55" s="41"/>
      <c r="Y55" s="41"/>
      <c r="Z55" s="41"/>
    </row>
    <row r="56" ht="15.75" customHeight="1">
      <c r="A56" s="43"/>
      <c r="B56" s="41"/>
      <c r="C56" s="41"/>
      <c r="D56" s="41"/>
      <c r="E56" s="41"/>
      <c r="F56" s="41"/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1"/>
      <c r="X56" s="41"/>
      <c r="Y56" s="41"/>
      <c r="Z56" s="41"/>
    </row>
    <row r="57" ht="15.75" customHeight="1">
      <c r="A57" s="43"/>
      <c r="B57" s="41"/>
      <c r="C57" s="41"/>
      <c r="D57" s="41"/>
      <c r="E57" s="4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1"/>
      <c r="X57" s="41"/>
      <c r="Y57" s="41"/>
      <c r="Z57" s="41"/>
    </row>
    <row r="58" ht="15.75" customHeight="1">
      <c r="A58" s="43"/>
      <c r="B58" s="41"/>
      <c r="C58" s="41"/>
      <c r="D58" s="41"/>
      <c r="E58" s="41"/>
      <c r="F58" s="41"/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1"/>
      <c r="X58" s="41"/>
      <c r="Y58" s="41"/>
      <c r="Z58" s="41"/>
    </row>
    <row r="59" ht="15.75" customHeight="1">
      <c r="A59" s="43"/>
      <c r="B59" s="41"/>
      <c r="C59" s="41"/>
      <c r="D59" s="41"/>
      <c r="E59" s="41"/>
      <c r="F59" s="41"/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1"/>
      <c r="X59" s="41"/>
      <c r="Y59" s="41"/>
      <c r="Z59" s="41"/>
    </row>
    <row r="60" ht="15.75" customHeight="1">
      <c r="A60" s="43"/>
      <c r="B60" s="41"/>
      <c r="C60" s="41"/>
      <c r="D60" s="41"/>
      <c r="E60" s="41"/>
      <c r="F60" s="41"/>
      <c r="G60" s="41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1"/>
      <c r="X60" s="41"/>
      <c r="Y60" s="41"/>
      <c r="Z60" s="41"/>
    </row>
    <row r="61" ht="15.75" customHeight="1">
      <c r="A61" s="43"/>
      <c r="B61" s="41"/>
      <c r="C61" s="41"/>
      <c r="D61" s="41"/>
      <c r="E61" s="41"/>
      <c r="F61" s="41"/>
      <c r="G61" s="41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1"/>
      <c r="X61" s="41"/>
      <c r="Y61" s="41"/>
      <c r="Z61" s="41"/>
    </row>
    <row r="62" ht="15.75" customHeight="1">
      <c r="A62" s="43"/>
      <c r="B62" s="41"/>
      <c r="C62" s="41"/>
      <c r="D62" s="41"/>
      <c r="E62" s="41"/>
      <c r="F62" s="41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1"/>
      <c r="X62" s="41"/>
      <c r="Y62" s="41"/>
      <c r="Z62" s="41"/>
    </row>
    <row r="63" ht="15.75" customHeight="1">
      <c r="A63" s="43"/>
      <c r="B63" s="41"/>
      <c r="C63" s="41"/>
      <c r="D63" s="41"/>
      <c r="E63" s="41"/>
      <c r="F63" s="41"/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1"/>
      <c r="X63" s="41"/>
      <c r="Y63" s="41"/>
      <c r="Z63" s="41"/>
    </row>
    <row r="64" ht="15.75" customHeight="1">
      <c r="A64" s="43"/>
      <c r="B64" s="41"/>
      <c r="C64" s="41"/>
      <c r="D64" s="41"/>
      <c r="E64" s="41"/>
      <c r="F64" s="41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1"/>
      <c r="X64" s="41"/>
      <c r="Y64" s="41"/>
      <c r="Z64" s="41"/>
    </row>
    <row r="65" ht="15.75" customHeight="1">
      <c r="A65" s="43"/>
      <c r="B65" s="41"/>
      <c r="C65" s="41"/>
      <c r="D65" s="41"/>
      <c r="E65" s="41"/>
      <c r="F65" s="41"/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1"/>
      <c r="X65" s="41"/>
      <c r="Y65" s="41"/>
      <c r="Z65" s="41"/>
    </row>
    <row r="66" ht="15.75" customHeight="1">
      <c r="A66" s="43"/>
      <c r="B66" s="41"/>
      <c r="C66" s="41"/>
      <c r="D66" s="41"/>
      <c r="E66" s="4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1"/>
      <c r="X66" s="41"/>
      <c r="Y66" s="41"/>
      <c r="Z66" s="41"/>
    </row>
    <row r="67" ht="15.75" customHeight="1">
      <c r="A67" s="43"/>
      <c r="B67" s="41"/>
      <c r="C67" s="41"/>
      <c r="D67" s="41"/>
      <c r="E67" s="41"/>
      <c r="F67" s="41"/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1"/>
      <c r="X67" s="41"/>
      <c r="Y67" s="41"/>
      <c r="Z67" s="41"/>
    </row>
    <row r="68" ht="15.75" customHeight="1">
      <c r="A68" s="43"/>
      <c r="B68" s="41"/>
      <c r="C68" s="41"/>
      <c r="D68" s="41"/>
      <c r="E68" s="41"/>
      <c r="F68" s="41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1"/>
      <c r="X68" s="41"/>
      <c r="Y68" s="41"/>
      <c r="Z68" s="41"/>
    </row>
    <row r="69" ht="15.75" customHeight="1">
      <c r="A69" s="43"/>
      <c r="B69" s="41"/>
      <c r="C69" s="41"/>
      <c r="D69" s="41"/>
      <c r="E69" s="41"/>
      <c r="F69" s="41"/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1"/>
      <c r="X69" s="41"/>
      <c r="Y69" s="41"/>
      <c r="Z69" s="41"/>
    </row>
    <row r="70" ht="15.75" customHeight="1">
      <c r="A70" s="43"/>
      <c r="B70" s="41"/>
      <c r="C70" s="41"/>
      <c r="D70" s="41"/>
      <c r="E70" s="41"/>
      <c r="F70" s="41"/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1"/>
      <c r="X70" s="41"/>
      <c r="Y70" s="41"/>
      <c r="Z70" s="41"/>
    </row>
    <row r="71" ht="15.75" customHeight="1">
      <c r="A71" s="43"/>
      <c r="B71" s="41"/>
      <c r="C71" s="41"/>
      <c r="D71" s="41"/>
      <c r="E71" s="41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1"/>
      <c r="X71" s="41"/>
      <c r="Y71" s="41"/>
      <c r="Z71" s="41"/>
    </row>
    <row r="72" ht="15.75" customHeight="1">
      <c r="A72" s="43"/>
      <c r="B72" s="41"/>
      <c r="C72" s="41"/>
      <c r="D72" s="41"/>
      <c r="E72" s="41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1"/>
      <c r="X72" s="41"/>
      <c r="Y72" s="41"/>
      <c r="Z72" s="41"/>
    </row>
    <row r="73" ht="15.75" customHeight="1">
      <c r="A73" s="43"/>
      <c r="B73" s="41"/>
      <c r="C73" s="41"/>
      <c r="D73" s="41"/>
      <c r="E73" s="41"/>
      <c r="F73" s="41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1"/>
      <c r="X73" s="41"/>
      <c r="Y73" s="41"/>
      <c r="Z73" s="41"/>
    </row>
    <row r="74" ht="15.75" customHeight="1">
      <c r="A74" s="43"/>
      <c r="B74" s="41"/>
      <c r="C74" s="41"/>
      <c r="D74" s="41"/>
      <c r="E74" s="41"/>
      <c r="F74" s="41"/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1"/>
      <c r="X74" s="41"/>
      <c r="Y74" s="41"/>
      <c r="Z74" s="41"/>
    </row>
    <row r="75" ht="15.75" customHeight="1">
      <c r="A75" s="43"/>
      <c r="B75" s="41"/>
      <c r="C75" s="41"/>
      <c r="D75" s="41"/>
      <c r="E75" s="41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1"/>
      <c r="X75" s="41"/>
      <c r="Y75" s="41"/>
      <c r="Z75" s="41"/>
    </row>
    <row r="76" ht="15.75" customHeight="1">
      <c r="A76" s="43"/>
      <c r="B76" s="41"/>
      <c r="C76" s="41"/>
      <c r="D76" s="41"/>
      <c r="E76" s="41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1"/>
      <c r="X76" s="41"/>
      <c r="Y76" s="41"/>
      <c r="Z76" s="41"/>
    </row>
    <row r="77" ht="15.75" customHeight="1">
      <c r="A77" s="43"/>
      <c r="B77" s="41"/>
      <c r="C77" s="41"/>
      <c r="D77" s="41"/>
      <c r="E77" s="41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1"/>
      <c r="X77" s="41"/>
      <c r="Y77" s="41"/>
      <c r="Z77" s="41"/>
    </row>
    <row r="78" ht="15.75" customHeight="1">
      <c r="A78" s="43"/>
      <c r="B78" s="41"/>
      <c r="C78" s="41"/>
      <c r="D78" s="41"/>
      <c r="E78" s="41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1"/>
      <c r="X78" s="41"/>
      <c r="Y78" s="41"/>
      <c r="Z78" s="41"/>
    </row>
    <row r="79" ht="15.75" customHeight="1">
      <c r="A79" s="43"/>
      <c r="B79" s="41"/>
      <c r="C79" s="41"/>
      <c r="D79" s="41"/>
      <c r="E79" s="41"/>
      <c r="F79" s="4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1"/>
      <c r="X79" s="41"/>
      <c r="Y79" s="41"/>
      <c r="Z79" s="41"/>
    </row>
    <row r="80" ht="15.75" customHeight="1">
      <c r="A80" s="43"/>
      <c r="B80" s="41"/>
      <c r="C80" s="41"/>
      <c r="D80" s="41"/>
      <c r="E80" s="4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1"/>
      <c r="X80" s="41"/>
      <c r="Y80" s="41"/>
      <c r="Z80" s="41"/>
    </row>
    <row r="81" ht="15.75" customHeight="1">
      <c r="A81" s="43"/>
      <c r="B81" s="41"/>
      <c r="C81" s="41"/>
      <c r="D81" s="41"/>
      <c r="E81" s="41"/>
      <c r="F81" s="41"/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1"/>
      <c r="X81" s="41"/>
      <c r="Y81" s="41"/>
      <c r="Z81" s="41"/>
    </row>
    <row r="82" ht="15.75" customHeight="1">
      <c r="A82" s="43"/>
      <c r="B82" s="41"/>
      <c r="C82" s="41"/>
      <c r="D82" s="41"/>
      <c r="E82" s="4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1"/>
      <c r="X82" s="41"/>
      <c r="Y82" s="41"/>
      <c r="Z82" s="41"/>
    </row>
    <row r="83" ht="15.75" customHeight="1">
      <c r="A83" s="43"/>
      <c r="B83" s="41"/>
      <c r="C83" s="41"/>
      <c r="D83" s="41"/>
      <c r="E83" s="4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1"/>
      <c r="X83" s="41"/>
      <c r="Y83" s="41"/>
      <c r="Z83" s="41"/>
    </row>
    <row r="84" ht="15.75" customHeight="1">
      <c r="A84" s="43"/>
      <c r="B84" s="41"/>
      <c r="C84" s="41"/>
      <c r="D84" s="41"/>
      <c r="E84" s="4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1"/>
      <c r="X84" s="41"/>
      <c r="Y84" s="41"/>
      <c r="Z84" s="41"/>
    </row>
    <row r="85" ht="15.75" customHeight="1">
      <c r="A85" s="43"/>
      <c r="B85" s="41"/>
      <c r="C85" s="41"/>
      <c r="D85" s="41"/>
      <c r="E85" s="41"/>
      <c r="F85" s="41"/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1"/>
      <c r="X85" s="41"/>
      <c r="Y85" s="41"/>
      <c r="Z85" s="41"/>
    </row>
    <row r="86" ht="15.75" customHeight="1">
      <c r="A86" s="43"/>
      <c r="B86" s="41"/>
      <c r="C86" s="41"/>
      <c r="D86" s="41"/>
      <c r="E86" s="41"/>
      <c r="F86" s="41"/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1"/>
      <c r="X86" s="41"/>
      <c r="Y86" s="41"/>
      <c r="Z86" s="41"/>
    </row>
    <row r="87" ht="15.75" customHeight="1">
      <c r="A87" s="43"/>
      <c r="B87" s="41"/>
      <c r="C87" s="41"/>
      <c r="D87" s="41"/>
      <c r="E87" s="41"/>
      <c r="F87" s="4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1"/>
      <c r="X87" s="41"/>
      <c r="Y87" s="41"/>
      <c r="Z87" s="41"/>
    </row>
    <row r="88" ht="15.75" customHeight="1">
      <c r="A88" s="43"/>
      <c r="B88" s="41"/>
      <c r="C88" s="41"/>
      <c r="D88" s="41"/>
      <c r="E88" s="41"/>
      <c r="F88" s="41"/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1"/>
      <c r="X88" s="41"/>
      <c r="Y88" s="41"/>
      <c r="Z88" s="41"/>
    </row>
    <row r="89" ht="15.75" customHeight="1">
      <c r="A89" s="43"/>
      <c r="B89" s="41"/>
      <c r="C89" s="41"/>
      <c r="D89" s="41"/>
      <c r="E89" s="4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1"/>
      <c r="X89" s="41"/>
      <c r="Y89" s="41"/>
      <c r="Z89" s="41"/>
    </row>
    <row r="90" ht="15.75" customHeight="1">
      <c r="A90" s="43"/>
      <c r="B90" s="41"/>
      <c r="C90" s="41"/>
      <c r="D90" s="41"/>
      <c r="E90" s="41"/>
      <c r="F90" s="41"/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1"/>
      <c r="X90" s="41"/>
      <c r="Y90" s="41"/>
      <c r="Z90" s="41"/>
    </row>
    <row r="91" ht="15.75" customHeight="1">
      <c r="A91" s="43"/>
      <c r="B91" s="41"/>
      <c r="C91" s="41"/>
      <c r="D91" s="41"/>
      <c r="E91" s="41"/>
      <c r="F91" s="41"/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1"/>
      <c r="X91" s="41"/>
      <c r="Y91" s="41"/>
      <c r="Z91" s="41"/>
    </row>
    <row r="92" ht="15.75" customHeight="1">
      <c r="A92" s="43"/>
      <c r="B92" s="41"/>
      <c r="C92" s="41"/>
      <c r="D92" s="41"/>
      <c r="E92" s="41"/>
      <c r="F92" s="41"/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1"/>
      <c r="X92" s="41"/>
      <c r="Y92" s="41"/>
      <c r="Z92" s="41"/>
    </row>
    <row r="93" ht="15.75" customHeight="1">
      <c r="A93" s="43"/>
      <c r="B93" s="41"/>
      <c r="C93" s="41"/>
      <c r="D93" s="41"/>
      <c r="E93" s="41"/>
      <c r="F93" s="41"/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1"/>
      <c r="X93" s="41"/>
      <c r="Y93" s="41"/>
      <c r="Z93" s="41"/>
    </row>
    <row r="94" ht="15.75" customHeight="1">
      <c r="A94" s="43"/>
      <c r="B94" s="41"/>
      <c r="C94" s="41"/>
      <c r="D94" s="41"/>
      <c r="E94" s="41"/>
      <c r="F94" s="41"/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1"/>
      <c r="X94" s="41"/>
      <c r="Y94" s="41"/>
      <c r="Z94" s="41"/>
    </row>
    <row r="95" ht="15.75" customHeight="1">
      <c r="A95" s="43"/>
      <c r="B95" s="41"/>
      <c r="C95" s="41"/>
      <c r="D95" s="41"/>
      <c r="E95" s="41"/>
      <c r="F95" s="41"/>
      <c r="G95" s="41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1"/>
      <c r="X95" s="41"/>
      <c r="Y95" s="41"/>
      <c r="Z95" s="41"/>
    </row>
    <row r="96" ht="15.75" customHeight="1">
      <c r="A96" s="43"/>
      <c r="B96" s="41"/>
      <c r="C96" s="41"/>
      <c r="D96" s="41"/>
      <c r="E96" s="41"/>
      <c r="F96" s="41"/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1"/>
      <c r="X96" s="41"/>
      <c r="Y96" s="41"/>
      <c r="Z96" s="41"/>
    </row>
    <row r="97" ht="15.75" customHeight="1">
      <c r="A97" s="43"/>
      <c r="B97" s="41"/>
      <c r="C97" s="41"/>
      <c r="D97" s="41"/>
      <c r="E97" s="41"/>
      <c r="F97" s="41"/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1"/>
      <c r="X97" s="41"/>
      <c r="Y97" s="41"/>
      <c r="Z97" s="41"/>
    </row>
    <row r="98" ht="15.75" customHeight="1">
      <c r="A98" s="43"/>
      <c r="B98" s="41"/>
      <c r="C98" s="41"/>
      <c r="D98" s="41"/>
      <c r="E98" s="41"/>
      <c r="F98" s="41"/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1"/>
      <c r="X98" s="41"/>
      <c r="Y98" s="41"/>
      <c r="Z98" s="41"/>
    </row>
    <row r="99" ht="15.75" customHeight="1">
      <c r="A99" s="43"/>
      <c r="B99" s="41"/>
      <c r="C99" s="41"/>
      <c r="D99" s="41"/>
      <c r="E99" s="41"/>
      <c r="F99" s="41"/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1"/>
      <c r="X99" s="41"/>
      <c r="Y99" s="41"/>
      <c r="Z99" s="41"/>
    </row>
    <row r="100" ht="15.75" customHeight="1">
      <c r="A100" s="43"/>
      <c r="B100" s="41"/>
      <c r="C100" s="41"/>
      <c r="D100" s="41"/>
      <c r="E100" s="41"/>
      <c r="F100" s="41"/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1"/>
      <c r="X100" s="41"/>
      <c r="Y100" s="41"/>
      <c r="Z100" s="41"/>
    </row>
    <row r="101" ht="15.75" customHeight="1">
      <c r="A101" s="43"/>
      <c r="B101" s="41"/>
      <c r="C101" s="41"/>
      <c r="D101" s="41"/>
      <c r="E101" s="41"/>
      <c r="F101" s="41"/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1"/>
      <c r="X101" s="41"/>
      <c r="Y101" s="41"/>
      <c r="Z101" s="41"/>
    </row>
    <row r="102" ht="15.75" customHeight="1">
      <c r="A102" s="43"/>
      <c r="B102" s="41"/>
      <c r="C102" s="41"/>
      <c r="D102" s="41"/>
      <c r="E102" s="41"/>
      <c r="F102" s="41"/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1"/>
      <c r="X102" s="41"/>
      <c r="Y102" s="41"/>
      <c r="Z102" s="41"/>
    </row>
    <row r="103" ht="15.75" customHeight="1">
      <c r="A103" s="43"/>
      <c r="B103" s="41"/>
      <c r="C103" s="41"/>
      <c r="D103" s="41"/>
      <c r="E103" s="41"/>
      <c r="F103" s="41"/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1"/>
      <c r="X103" s="41"/>
      <c r="Y103" s="41"/>
      <c r="Z103" s="41"/>
    </row>
    <row r="104" ht="15.75" customHeight="1">
      <c r="A104" s="43"/>
      <c r="B104" s="41"/>
      <c r="C104" s="41"/>
      <c r="D104" s="41"/>
      <c r="E104" s="41"/>
      <c r="F104" s="41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1"/>
      <c r="X104" s="41"/>
      <c r="Y104" s="41"/>
      <c r="Z104" s="41"/>
    </row>
    <row r="105" ht="15.75" customHeight="1">
      <c r="A105" s="43"/>
      <c r="B105" s="41"/>
      <c r="C105" s="41"/>
      <c r="D105" s="41"/>
      <c r="E105" s="41"/>
      <c r="F105" s="41"/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1"/>
      <c r="X105" s="41"/>
      <c r="Y105" s="41"/>
      <c r="Z105" s="41"/>
    </row>
    <row r="106" ht="15.75" customHeight="1">
      <c r="A106" s="43"/>
      <c r="B106" s="41"/>
      <c r="C106" s="41"/>
      <c r="D106" s="41"/>
      <c r="E106" s="41"/>
      <c r="F106" s="41"/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1"/>
      <c r="X106" s="41"/>
      <c r="Y106" s="41"/>
      <c r="Z106" s="41"/>
    </row>
    <row r="107" ht="15.75" customHeight="1">
      <c r="A107" s="43"/>
      <c r="B107" s="41"/>
      <c r="C107" s="41"/>
      <c r="D107" s="41"/>
      <c r="E107" s="41"/>
      <c r="F107" s="41"/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1"/>
      <c r="X107" s="41"/>
      <c r="Y107" s="41"/>
      <c r="Z107" s="41"/>
    </row>
    <row r="108" ht="15.75" customHeight="1">
      <c r="A108" s="43"/>
      <c r="B108" s="41"/>
      <c r="C108" s="41"/>
      <c r="D108" s="41"/>
      <c r="E108" s="41"/>
      <c r="F108" s="41"/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1"/>
      <c r="X108" s="41"/>
      <c r="Y108" s="41"/>
      <c r="Z108" s="41"/>
    </row>
    <row r="109" ht="15.75" customHeight="1">
      <c r="A109" s="43"/>
      <c r="B109" s="41"/>
      <c r="C109" s="41"/>
      <c r="D109" s="41"/>
      <c r="E109" s="41"/>
      <c r="F109" s="41"/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1"/>
      <c r="X109" s="41"/>
      <c r="Y109" s="41"/>
      <c r="Z109" s="41"/>
    </row>
    <row r="110" ht="15.75" customHeight="1">
      <c r="A110" s="43"/>
      <c r="B110" s="41"/>
      <c r="C110" s="41"/>
      <c r="D110" s="41"/>
      <c r="E110" s="41"/>
      <c r="F110" s="41"/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1"/>
      <c r="X110" s="41"/>
      <c r="Y110" s="41"/>
      <c r="Z110" s="41"/>
    </row>
    <row r="111" ht="15.75" customHeight="1">
      <c r="A111" s="43"/>
      <c r="B111" s="41"/>
      <c r="C111" s="41"/>
      <c r="D111" s="41"/>
      <c r="E111" s="41"/>
      <c r="F111" s="41"/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1"/>
      <c r="X111" s="41"/>
      <c r="Y111" s="41"/>
      <c r="Z111" s="41"/>
    </row>
    <row r="112" ht="15.75" customHeight="1">
      <c r="A112" s="43"/>
      <c r="B112" s="41"/>
      <c r="C112" s="41"/>
      <c r="D112" s="41"/>
      <c r="E112" s="41"/>
      <c r="F112" s="41"/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1"/>
      <c r="X112" s="41"/>
      <c r="Y112" s="41"/>
      <c r="Z112" s="41"/>
    </row>
    <row r="113" ht="15.75" customHeight="1">
      <c r="A113" s="43"/>
      <c r="B113" s="41"/>
      <c r="C113" s="41"/>
      <c r="D113" s="41"/>
      <c r="E113" s="41"/>
      <c r="F113" s="41"/>
      <c r="G113" s="41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1"/>
      <c r="X113" s="41"/>
      <c r="Y113" s="41"/>
      <c r="Z113" s="41"/>
    </row>
    <row r="114" ht="15.75" customHeight="1">
      <c r="A114" s="43"/>
      <c r="B114" s="41"/>
      <c r="C114" s="41"/>
      <c r="D114" s="41"/>
      <c r="E114" s="41"/>
      <c r="F114" s="41"/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1"/>
      <c r="X114" s="41"/>
      <c r="Y114" s="41"/>
      <c r="Z114" s="41"/>
    </row>
    <row r="115" ht="15.75" customHeight="1">
      <c r="A115" s="43"/>
      <c r="B115" s="41"/>
      <c r="C115" s="41"/>
      <c r="D115" s="41"/>
      <c r="E115" s="41"/>
      <c r="F115" s="41"/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1"/>
      <c r="X115" s="41"/>
      <c r="Y115" s="41"/>
      <c r="Z115" s="41"/>
    </row>
    <row r="116" ht="15.75" customHeight="1">
      <c r="A116" s="43"/>
      <c r="B116" s="41"/>
      <c r="C116" s="41"/>
      <c r="D116" s="41"/>
      <c r="E116" s="41"/>
      <c r="F116" s="41"/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1"/>
      <c r="X116" s="41"/>
      <c r="Y116" s="41"/>
      <c r="Z116" s="41"/>
    </row>
    <row r="117" ht="15.75" customHeight="1">
      <c r="A117" s="43"/>
      <c r="B117" s="41"/>
      <c r="C117" s="41"/>
      <c r="D117" s="41"/>
      <c r="E117" s="41"/>
      <c r="F117" s="41"/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1"/>
      <c r="X117" s="41"/>
      <c r="Y117" s="41"/>
      <c r="Z117" s="41"/>
    </row>
    <row r="118" ht="15.75" customHeight="1">
      <c r="A118" s="43"/>
      <c r="B118" s="41"/>
      <c r="C118" s="41"/>
      <c r="D118" s="41"/>
      <c r="E118" s="41"/>
      <c r="F118" s="41"/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1"/>
      <c r="X118" s="41"/>
      <c r="Y118" s="41"/>
      <c r="Z118" s="41"/>
    </row>
    <row r="119" ht="15.75" customHeight="1">
      <c r="A119" s="43"/>
      <c r="B119" s="41"/>
      <c r="C119" s="41"/>
      <c r="D119" s="41"/>
      <c r="E119" s="41"/>
      <c r="F119" s="41"/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1"/>
      <c r="X119" s="41"/>
      <c r="Y119" s="41"/>
      <c r="Z119" s="41"/>
    </row>
    <row r="120" ht="15.75" customHeight="1">
      <c r="A120" s="43"/>
      <c r="B120" s="41"/>
      <c r="C120" s="41"/>
      <c r="D120" s="41"/>
      <c r="E120" s="41"/>
      <c r="F120" s="41"/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1"/>
      <c r="X120" s="41"/>
      <c r="Y120" s="41"/>
      <c r="Z120" s="41"/>
    </row>
    <row r="121" ht="15.75" customHeight="1">
      <c r="A121" s="43"/>
      <c r="B121" s="41"/>
      <c r="C121" s="41"/>
      <c r="D121" s="41"/>
      <c r="E121" s="41"/>
      <c r="F121" s="41"/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1"/>
      <c r="X121" s="41"/>
      <c r="Y121" s="41"/>
      <c r="Z121" s="41"/>
    </row>
    <row r="122" ht="15.75" customHeight="1">
      <c r="A122" s="43"/>
      <c r="B122" s="41"/>
      <c r="C122" s="41"/>
      <c r="D122" s="41"/>
      <c r="E122" s="41"/>
      <c r="F122" s="41"/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1"/>
      <c r="X122" s="41"/>
      <c r="Y122" s="41"/>
      <c r="Z122" s="41"/>
    </row>
    <row r="123" ht="15.75" customHeight="1">
      <c r="A123" s="43"/>
      <c r="B123" s="41"/>
      <c r="C123" s="41"/>
      <c r="D123" s="41"/>
      <c r="E123" s="41"/>
      <c r="F123" s="41"/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1"/>
      <c r="X123" s="41"/>
      <c r="Y123" s="41"/>
      <c r="Z123" s="41"/>
    </row>
    <row r="124" ht="15.75" customHeight="1">
      <c r="A124" s="43"/>
      <c r="B124" s="41"/>
      <c r="C124" s="41"/>
      <c r="D124" s="41"/>
      <c r="E124" s="41"/>
      <c r="F124" s="41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1"/>
      <c r="X124" s="41"/>
      <c r="Y124" s="41"/>
      <c r="Z124" s="41"/>
    </row>
    <row r="125" ht="15.75" customHeight="1">
      <c r="A125" s="43"/>
      <c r="B125" s="41"/>
      <c r="C125" s="41"/>
      <c r="D125" s="41"/>
      <c r="E125" s="41"/>
      <c r="F125" s="41"/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1"/>
      <c r="X125" s="41"/>
      <c r="Y125" s="41"/>
      <c r="Z125" s="41"/>
    </row>
    <row r="126" ht="15.75" customHeight="1">
      <c r="A126" s="43"/>
      <c r="B126" s="41"/>
      <c r="C126" s="41"/>
      <c r="D126" s="41"/>
      <c r="E126" s="41"/>
      <c r="F126" s="41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1"/>
      <c r="X126" s="41"/>
      <c r="Y126" s="41"/>
      <c r="Z126" s="41"/>
    </row>
    <row r="127" ht="15.75" customHeight="1">
      <c r="A127" s="43"/>
      <c r="B127" s="41"/>
      <c r="C127" s="41"/>
      <c r="D127" s="41"/>
      <c r="E127" s="41"/>
      <c r="F127" s="41"/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1"/>
      <c r="X127" s="41"/>
      <c r="Y127" s="41"/>
      <c r="Z127" s="41"/>
    </row>
    <row r="128" ht="15.75" customHeight="1">
      <c r="A128" s="43"/>
      <c r="B128" s="41"/>
      <c r="C128" s="41"/>
      <c r="D128" s="41"/>
      <c r="E128" s="41"/>
      <c r="F128" s="41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1"/>
      <c r="X128" s="41"/>
      <c r="Y128" s="41"/>
      <c r="Z128" s="41"/>
    </row>
    <row r="129" ht="15.75" customHeight="1">
      <c r="A129" s="43"/>
      <c r="B129" s="41"/>
      <c r="C129" s="41"/>
      <c r="D129" s="41"/>
      <c r="E129" s="41"/>
      <c r="F129" s="4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1"/>
      <c r="X129" s="41"/>
      <c r="Y129" s="41"/>
      <c r="Z129" s="41"/>
    </row>
    <row r="130" ht="15.75" customHeight="1">
      <c r="A130" s="43"/>
      <c r="B130" s="41"/>
      <c r="C130" s="41"/>
      <c r="D130" s="41"/>
      <c r="E130" s="41"/>
      <c r="F130" s="41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1"/>
      <c r="X130" s="41"/>
      <c r="Y130" s="41"/>
      <c r="Z130" s="41"/>
    </row>
    <row r="131" ht="15.75" customHeight="1">
      <c r="A131" s="43"/>
      <c r="B131" s="41"/>
      <c r="C131" s="41"/>
      <c r="D131" s="41"/>
      <c r="E131" s="41"/>
      <c r="F131" s="41"/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1"/>
      <c r="X131" s="41"/>
      <c r="Y131" s="41"/>
      <c r="Z131" s="41"/>
    </row>
    <row r="132" ht="15.75" customHeight="1">
      <c r="A132" s="43"/>
      <c r="B132" s="41"/>
      <c r="C132" s="41"/>
      <c r="D132" s="41"/>
      <c r="E132" s="41"/>
      <c r="F132" s="41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1"/>
      <c r="X132" s="41"/>
      <c r="Y132" s="41"/>
      <c r="Z132" s="41"/>
    </row>
    <row r="133" ht="15.75" customHeight="1">
      <c r="A133" s="43"/>
      <c r="B133" s="41"/>
      <c r="C133" s="41"/>
      <c r="D133" s="41"/>
      <c r="E133" s="41"/>
      <c r="F133" s="4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1"/>
      <c r="X133" s="41"/>
      <c r="Y133" s="41"/>
      <c r="Z133" s="41"/>
    </row>
    <row r="134" ht="15.75" customHeight="1">
      <c r="A134" s="43"/>
      <c r="B134" s="41"/>
      <c r="C134" s="41"/>
      <c r="D134" s="41"/>
      <c r="E134" s="41"/>
      <c r="F134" s="41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1"/>
      <c r="X134" s="41"/>
      <c r="Y134" s="41"/>
      <c r="Z134" s="41"/>
    </row>
    <row r="135" ht="15.75" customHeight="1">
      <c r="A135" s="43"/>
      <c r="B135" s="41"/>
      <c r="C135" s="41"/>
      <c r="D135" s="41"/>
      <c r="E135" s="41"/>
      <c r="F135" s="41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1"/>
      <c r="X135" s="41"/>
      <c r="Y135" s="41"/>
      <c r="Z135" s="41"/>
    </row>
    <row r="136" ht="15.75" customHeight="1">
      <c r="A136" s="43"/>
      <c r="B136" s="41"/>
      <c r="C136" s="41"/>
      <c r="D136" s="41"/>
      <c r="E136" s="41"/>
      <c r="F136" s="41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1"/>
      <c r="X136" s="41"/>
      <c r="Y136" s="41"/>
      <c r="Z136" s="41"/>
    </row>
    <row r="137" ht="15.75" customHeight="1">
      <c r="A137" s="43"/>
      <c r="B137" s="41"/>
      <c r="C137" s="41"/>
      <c r="D137" s="41"/>
      <c r="E137" s="41"/>
      <c r="F137" s="41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1"/>
      <c r="X137" s="41"/>
      <c r="Y137" s="41"/>
      <c r="Z137" s="41"/>
    </row>
    <row r="138" ht="15.75" customHeight="1">
      <c r="A138" s="43"/>
      <c r="B138" s="41"/>
      <c r="C138" s="41"/>
      <c r="D138" s="41"/>
      <c r="E138" s="41"/>
      <c r="F138" s="41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1"/>
      <c r="X138" s="41"/>
      <c r="Y138" s="41"/>
      <c r="Z138" s="41"/>
    </row>
    <row r="139" ht="15.75" customHeight="1">
      <c r="A139" s="43"/>
      <c r="B139" s="41"/>
      <c r="C139" s="41"/>
      <c r="D139" s="41"/>
      <c r="E139" s="41"/>
      <c r="F139" s="41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1"/>
      <c r="X139" s="41"/>
      <c r="Y139" s="41"/>
      <c r="Z139" s="41"/>
    </row>
    <row r="140" ht="15.75" customHeight="1">
      <c r="A140" s="43"/>
      <c r="B140" s="41"/>
      <c r="C140" s="41"/>
      <c r="D140" s="41"/>
      <c r="E140" s="41"/>
      <c r="F140" s="41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1"/>
      <c r="X140" s="41"/>
      <c r="Y140" s="41"/>
      <c r="Z140" s="41"/>
    </row>
    <row r="141" ht="15.75" customHeight="1">
      <c r="A141" s="43"/>
      <c r="B141" s="41"/>
      <c r="C141" s="41"/>
      <c r="D141" s="41"/>
      <c r="E141" s="41"/>
      <c r="F141" s="41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1"/>
      <c r="X141" s="41"/>
      <c r="Y141" s="41"/>
      <c r="Z141" s="41"/>
    </row>
    <row r="142" ht="15.75" customHeight="1">
      <c r="A142" s="43"/>
      <c r="B142" s="41"/>
      <c r="C142" s="41"/>
      <c r="D142" s="41"/>
      <c r="E142" s="4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1"/>
      <c r="X142" s="41"/>
      <c r="Y142" s="41"/>
      <c r="Z142" s="41"/>
    </row>
    <row r="143" ht="15.75" customHeight="1">
      <c r="A143" s="43"/>
      <c r="B143" s="41"/>
      <c r="C143" s="41"/>
      <c r="D143" s="41"/>
      <c r="E143" s="41"/>
      <c r="F143" s="41"/>
      <c r="G143" s="41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1"/>
      <c r="X143" s="41"/>
      <c r="Y143" s="41"/>
      <c r="Z143" s="41"/>
    </row>
    <row r="144" ht="15.75" customHeight="1">
      <c r="A144" s="43"/>
      <c r="B144" s="41"/>
      <c r="C144" s="41"/>
      <c r="D144" s="41"/>
      <c r="E144" s="41"/>
      <c r="F144" s="4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1"/>
      <c r="X144" s="41"/>
      <c r="Y144" s="41"/>
      <c r="Z144" s="41"/>
    </row>
    <row r="145" ht="15.75" customHeight="1">
      <c r="A145" s="43"/>
      <c r="B145" s="41"/>
      <c r="C145" s="41"/>
      <c r="D145" s="41"/>
      <c r="E145" s="41"/>
      <c r="F145" s="41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1"/>
      <c r="X145" s="41"/>
      <c r="Y145" s="41"/>
      <c r="Z145" s="41"/>
    </row>
    <row r="146" ht="15.75" customHeight="1">
      <c r="A146" s="43"/>
      <c r="B146" s="41"/>
      <c r="C146" s="41"/>
      <c r="D146" s="41"/>
      <c r="E146" s="41"/>
      <c r="F146" s="41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1"/>
      <c r="X146" s="41"/>
      <c r="Y146" s="41"/>
      <c r="Z146" s="41"/>
    </row>
    <row r="147" ht="15.75" customHeight="1">
      <c r="A147" s="43"/>
      <c r="B147" s="41"/>
      <c r="C147" s="41"/>
      <c r="D147" s="41"/>
      <c r="E147" s="41"/>
      <c r="F147" s="41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1"/>
      <c r="X147" s="41"/>
      <c r="Y147" s="41"/>
      <c r="Z147" s="41"/>
    </row>
    <row r="148" ht="15.75" customHeight="1">
      <c r="A148" s="43"/>
      <c r="B148" s="41"/>
      <c r="C148" s="41"/>
      <c r="D148" s="41"/>
      <c r="E148" s="41"/>
      <c r="F148" s="41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1"/>
      <c r="X148" s="41"/>
      <c r="Y148" s="41"/>
      <c r="Z148" s="41"/>
    </row>
    <row r="149" ht="15.75" customHeight="1">
      <c r="A149" s="43"/>
      <c r="B149" s="41"/>
      <c r="C149" s="41"/>
      <c r="D149" s="41"/>
      <c r="E149" s="41"/>
      <c r="F149" s="41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1"/>
      <c r="X149" s="41"/>
      <c r="Y149" s="41"/>
      <c r="Z149" s="41"/>
    </row>
    <row r="150" ht="15.75" customHeight="1">
      <c r="A150" s="43"/>
      <c r="B150" s="41"/>
      <c r="C150" s="41"/>
      <c r="D150" s="41"/>
      <c r="E150" s="41"/>
      <c r="F150" s="41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1"/>
      <c r="X150" s="41"/>
      <c r="Y150" s="41"/>
      <c r="Z150" s="41"/>
    </row>
    <row r="151" ht="15.75" customHeight="1">
      <c r="A151" s="43"/>
      <c r="B151" s="41"/>
      <c r="C151" s="41"/>
      <c r="D151" s="41"/>
      <c r="E151" s="41"/>
      <c r="F151" s="41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1"/>
      <c r="X151" s="41"/>
      <c r="Y151" s="41"/>
      <c r="Z151" s="41"/>
    </row>
    <row r="152" ht="15.75" customHeight="1">
      <c r="A152" s="43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1"/>
      <c r="X152" s="41"/>
      <c r="Y152" s="41"/>
      <c r="Z152" s="41"/>
    </row>
    <row r="153" ht="15.75" customHeight="1">
      <c r="A153" s="43"/>
      <c r="B153" s="41"/>
      <c r="C153" s="41"/>
      <c r="D153" s="41"/>
      <c r="E153" s="41"/>
      <c r="F153" s="41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1"/>
      <c r="X153" s="41"/>
      <c r="Y153" s="41"/>
      <c r="Z153" s="41"/>
    </row>
    <row r="154" ht="15.75" customHeight="1">
      <c r="A154" s="43"/>
      <c r="B154" s="41"/>
      <c r="C154" s="41"/>
      <c r="D154" s="41"/>
      <c r="E154" s="41"/>
      <c r="F154" s="41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1"/>
      <c r="X154" s="41"/>
      <c r="Y154" s="41"/>
      <c r="Z154" s="41"/>
    </row>
    <row r="155" ht="15.75" customHeight="1">
      <c r="A155" s="43"/>
      <c r="B155" s="41"/>
      <c r="C155" s="41"/>
      <c r="D155" s="41"/>
      <c r="E155" s="41"/>
      <c r="F155" s="41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1"/>
      <c r="X155" s="41"/>
      <c r="Y155" s="41"/>
      <c r="Z155" s="41"/>
    </row>
    <row r="156" ht="15.75" customHeight="1">
      <c r="A156" s="43"/>
      <c r="B156" s="41"/>
      <c r="C156" s="41"/>
      <c r="D156" s="41"/>
      <c r="E156" s="41"/>
      <c r="F156" s="41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1"/>
      <c r="X156" s="41"/>
      <c r="Y156" s="41"/>
      <c r="Z156" s="41"/>
    </row>
    <row r="157" ht="15.75" customHeight="1">
      <c r="A157" s="43"/>
      <c r="B157" s="41"/>
      <c r="C157" s="41"/>
      <c r="D157" s="41"/>
      <c r="E157" s="41"/>
      <c r="F157" s="41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1"/>
      <c r="X157" s="41"/>
      <c r="Y157" s="41"/>
      <c r="Z157" s="41"/>
    </row>
    <row r="158" ht="15.75" customHeight="1">
      <c r="A158" s="43"/>
      <c r="B158" s="41"/>
      <c r="C158" s="41"/>
      <c r="D158" s="41"/>
      <c r="E158" s="41"/>
      <c r="F158" s="41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1"/>
      <c r="X158" s="41"/>
      <c r="Y158" s="41"/>
      <c r="Z158" s="41"/>
    </row>
    <row r="159" ht="15.75" customHeight="1">
      <c r="A159" s="43"/>
      <c r="B159" s="41"/>
      <c r="C159" s="41"/>
      <c r="D159" s="41"/>
      <c r="E159" s="41"/>
      <c r="F159" s="41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1"/>
      <c r="X159" s="41"/>
      <c r="Y159" s="41"/>
      <c r="Z159" s="41"/>
    </row>
    <row r="160" ht="15.75" customHeight="1">
      <c r="A160" s="43"/>
      <c r="B160" s="41"/>
      <c r="C160" s="41"/>
      <c r="D160" s="41"/>
      <c r="E160" s="41"/>
      <c r="F160" s="41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1"/>
      <c r="X160" s="41"/>
      <c r="Y160" s="41"/>
      <c r="Z160" s="41"/>
    </row>
    <row r="161" ht="15.75" customHeight="1">
      <c r="A161" s="43"/>
      <c r="B161" s="41"/>
      <c r="C161" s="41"/>
      <c r="D161" s="41"/>
      <c r="E161" s="41"/>
      <c r="F161" s="41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1"/>
      <c r="X161" s="41"/>
      <c r="Y161" s="41"/>
      <c r="Z161" s="41"/>
    </row>
    <row r="162" ht="15.75" customHeight="1">
      <c r="A162" s="43"/>
      <c r="B162" s="41"/>
      <c r="C162" s="41"/>
      <c r="D162" s="41"/>
      <c r="E162" s="41"/>
      <c r="F162" s="41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1"/>
      <c r="X162" s="41"/>
      <c r="Y162" s="41"/>
      <c r="Z162" s="41"/>
    </row>
    <row r="163" ht="15.75" customHeight="1">
      <c r="A163" s="43"/>
      <c r="B163" s="41"/>
      <c r="C163" s="41"/>
      <c r="D163" s="41"/>
      <c r="E163" s="41"/>
      <c r="F163" s="41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1"/>
      <c r="X163" s="41"/>
      <c r="Y163" s="41"/>
      <c r="Z163" s="41"/>
    </row>
    <row r="164" ht="15.75" customHeight="1">
      <c r="A164" s="43"/>
      <c r="B164" s="41"/>
      <c r="C164" s="41"/>
      <c r="D164" s="41"/>
      <c r="E164" s="41"/>
      <c r="F164" s="41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1"/>
      <c r="X164" s="41"/>
      <c r="Y164" s="41"/>
      <c r="Z164" s="41"/>
    </row>
    <row r="165" ht="15.75" customHeight="1">
      <c r="A165" s="43"/>
      <c r="B165" s="41"/>
      <c r="C165" s="41"/>
      <c r="D165" s="41"/>
      <c r="E165" s="41"/>
      <c r="F165" s="41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1"/>
      <c r="X165" s="41"/>
      <c r="Y165" s="41"/>
      <c r="Z165" s="41"/>
    </row>
    <row r="166" ht="15.75" customHeight="1">
      <c r="A166" s="43"/>
      <c r="B166" s="41"/>
      <c r="C166" s="41"/>
      <c r="D166" s="41"/>
      <c r="E166" s="41"/>
      <c r="F166" s="41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1"/>
      <c r="X166" s="41"/>
      <c r="Y166" s="41"/>
      <c r="Z166" s="41"/>
    </row>
    <row r="167" ht="15.75" customHeight="1">
      <c r="A167" s="43"/>
      <c r="B167" s="41"/>
      <c r="C167" s="41"/>
      <c r="D167" s="41"/>
      <c r="E167" s="41"/>
      <c r="F167" s="41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1"/>
      <c r="X167" s="41"/>
      <c r="Y167" s="41"/>
      <c r="Z167" s="41"/>
    </row>
    <row r="168" ht="15.75" customHeight="1">
      <c r="A168" s="43"/>
      <c r="B168" s="41"/>
      <c r="C168" s="41"/>
      <c r="D168" s="41"/>
      <c r="E168" s="41"/>
      <c r="F168" s="41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1"/>
      <c r="X168" s="41"/>
      <c r="Y168" s="41"/>
      <c r="Z168" s="41"/>
    </row>
    <row r="169" ht="15.75" customHeight="1">
      <c r="A169" s="43"/>
      <c r="B169" s="41"/>
      <c r="C169" s="41"/>
      <c r="D169" s="41"/>
      <c r="E169" s="41"/>
      <c r="F169" s="41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1"/>
      <c r="X169" s="41"/>
      <c r="Y169" s="41"/>
      <c r="Z169" s="41"/>
    </row>
    <row r="170" ht="15.75" customHeight="1">
      <c r="A170" s="43"/>
      <c r="B170" s="41"/>
      <c r="C170" s="41"/>
      <c r="D170" s="41"/>
      <c r="E170" s="41"/>
      <c r="F170" s="41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1"/>
      <c r="X170" s="41"/>
      <c r="Y170" s="41"/>
      <c r="Z170" s="41"/>
    </row>
    <row r="171" ht="15.75" customHeight="1">
      <c r="A171" s="43"/>
      <c r="B171" s="41"/>
      <c r="C171" s="41"/>
      <c r="D171" s="41"/>
      <c r="E171" s="41"/>
      <c r="F171" s="41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1"/>
      <c r="X171" s="41"/>
      <c r="Y171" s="41"/>
      <c r="Z171" s="41"/>
    </row>
    <row r="172" ht="15.75" customHeight="1">
      <c r="A172" s="43"/>
      <c r="B172" s="41"/>
      <c r="C172" s="41"/>
      <c r="D172" s="41"/>
      <c r="E172" s="41"/>
      <c r="F172" s="41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1"/>
      <c r="X172" s="41"/>
      <c r="Y172" s="41"/>
      <c r="Z172" s="41"/>
    </row>
    <row r="173" ht="15.75" customHeight="1">
      <c r="A173" s="43"/>
      <c r="B173" s="41"/>
      <c r="C173" s="41"/>
      <c r="D173" s="41"/>
      <c r="E173" s="41"/>
      <c r="F173" s="41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1"/>
      <c r="X173" s="41"/>
      <c r="Y173" s="41"/>
      <c r="Z173" s="41"/>
    </row>
    <row r="174" ht="15.75" customHeight="1">
      <c r="A174" s="43"/>
      <c r="B174" s="41"/>
      <c r="C174" s="41"/>
      <c r="D174" s="41"/>
      <c r="E174" s="41"/>
      <c r="F174" s="41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1"/>
      <c r="X174" s="41"/>
      <c r="Y174" s="41"/>
      <c r="Z174" s="41"/>
    </row>
    <row r="175" ht="15.75" customHeight="1">
      <c r="A175" s="43"/>
      <c r="B175" s="41"/>
      <c r="C175" s="41"/>
      <c r="D175" s="41"/>
      <c r="E175" s="41"/>
      <c r="F175" s="41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1"/>
      <c r="X175" s="41"/>
      <c r="Y175" s="41"/>
      <c r="Z175" s="41"/>
    </row>
    <row r="176" ht="15.75" customHeight="1">
      <c r="A176" s="43"/>
      <c r="B176" s="41"/>
      <c r="C176" s="41"/>
      <c r="D176" s="41"/>
      <c r="E176" s="41"/>
      <c r="F176" s="41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1"/>
      <c r="X176" s="41"/>
      <c r="Y176" s="41"/>
      <c r="Z176" s="41"/>
    </row>
    <row r="177" ht="15.75" customHeight="1">
      <c r="A177" s="43"/>
      <c r="B177" s="41"/>
      <c r="C177" s="41"/>
      <c r="D177" s="41"/>
      <c r="E177" s="41"/>
      <c r="F177" s="41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1"/>
      <c r="X177" s="41"/>
      <c r="Y177" s="41"/>
      <c r="Z177" s="41"/>
    </row>
    <row r="178" ht="15.75" customHeight="1">
      <c r="A178" s="43"/>
      <c r="B178" s="41"/>
      <c r="C178" s="41"/>
      <c r="D178" s="41"/>
      <c r="E178" s="41"/>
      <c r="F178" s="41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1"/>
      <c r="X178" s="41"/>
      <c r="Y178" s="41"/>
      <c r="Z178" s="41"/>
    </row>
    <row r="179" ht="15.75" customHeight="1">
      <c r="A179" s="43"/>
      <c r="B179" s="41"/>
      <c r="C179" s="41"/>
      <c r="D179" s="41"/>
      <c r="E179" s="41"/>
      <c r="F179" s="41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1"/>
      <c r="X179" s="41"/>
      <c r="Y179" s="41"/>
      <c r="Z179" s="41"/>
    </row>
    <row r="180" ht="15.75" customHeight="1">
      <c r="A180" s="43"/>
      <c r="B180" s="41"/>
      <c r="C180" s="41"/>
      <c r="D180" s="41"/>
      <c r="E180" s="41"/>
      <c r="F180" s="41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1"/>
      <c r="X180" s="41"/>
      <c r="Y180" s="41"/>
      <c r="Z180" s="41"/>
    </row>
    <row r="181" ht="15.75" customHeight="1">
      <c r="A181" s="43"/>
      <c r="B181" s="41"/>
      <c r="C181" s="41"/>
      <c r="D181" s="41"/>
      <c r="E181" s="41"/>
      <c r="F181" s="41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1"/>
      <c r="X181" s="41"/>
      <c r="Y181" s="41"/>
      <c r="Z181" s="41"/>
    </row>
    <row r="182" ht="15.75" customHeight="1">
      <c r="A182" s="43"/>
      <c r="B182" s="41"/>
      <c r="C182" s="41"/>
      <c r="D182" s="41"/>
      <c r="E182" s="41"/>
      <c r="F182" s="41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1"/>
      <c r="X182" s="41"/>
      <c r="Y182" s="41"/>
      <c r="Z182" s="41"/>
    </row>
    <row r="183" ht="15.75" customHeight="1">
      <c r="A183" s="43"/>
      <c r="B183" s="41"/>
      <c r="C183" s="41"/>
      <c r="D183" s="41"/>
      <c r="E183" s="41"/>
      <c r="F183" s="41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1"/>
      <c r="X183" s="41"/>
      <c r="Y183" s="41"/>
      <c r="Z183" s="41"/>
    </row>
    <row r="184" ht="15.75" customHeight="1">
      <c r="A184" s="43"/>
      <c r="B184" s="41"/>
      <c r="C184" s="41"/>
      <c r="D184" s="41"/>
      <c r="E184" s="41"/>
      <c r="F184" s="41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1"/>
      <c r="X184" s="41"/>
      <c r="Y184" s="41"/>
      <c r="Z184" s="41"/>
    </row>
    <row r="185" ht="15.75" customHeight="1">
      <c r="A185" s="43"/>
      <c r="B185" s="41"/>
      <c r="C185" s="41"/>
      <c r="D185" s="41"/>
      <c r="E185" s="41"/>
      <c r="F185" s="41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1"/>
      <c r="X185" s="41"/>
      <c r="Y185" s="41"/>
      <c r="Z185" s="41"/>
    </row>
    <row r="186" ht="15.75" customHeight="1">
      <c r="A186" s="43"/>
      <c r="B186" s="41"/>
      <c r="C186" s="41"/>
      <c r="D186" s="41"/>
      <c r="E186" s="41"/>
      <c r="F186" s="41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1"/>
      <c r="X186" s="41"/>
      <c r="Y186" s="41"/>
      <c r="Z186" s="41"/>
    </row>
    <row r="187" ht="15.75" customHeight="1">
      <c r="A187" s="43"/>
      <c r="B187" s="41"/>
      <c r="C187" s="41"/>
      <c r="D187" s="41"/>
      <c r="E187" s="41"/>
      <c r="F187" s="41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1"/>
      <c r="X187" s="41"/>
      <c r="Y187" s="41"/>
      <c r="Z187" s="41"/>
    </row>
    <row r="188" ht="15.75" customHeight="1">
      <c r="A188" s="43"/>
      <c r="B188" s="41"/>
      <c r="C188" s="41"/>
      <c r="D188" s="41"/>
      <c r="E188" s="41"/>
      <c r="F188" s="41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1"/>
      <c r="X188" s="41"/>
      <c r="Y188" s="41"/>
      <c r="Z188" s="41"/>
    </row>
    <row r="189" ht="15.75" customHeight="1">
      <c r="A189" s="43"/>
      <c r="B189" s="41"/>
      <c r="C189" s="41"/>
      <c r="D189" s="41"/>
      <c r="E189" s="41"/>
      <c r="F189" s="41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1"/>
      <c r="X189" s="41"/>
      <c r="Y189" s="41"/>
      <c r="Z189" s="41"/>
    </row>
    <row r="190" ht="15.75" customHeight="1">
      <c r="A190" s="43"/>
      <c r="B190" s="41"/>
      <c r="C190" s="41"/>
      <c r="D190" s="41"/>
      <c r="E190" s="41"/>
      <c r="F190" s="41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1"/>
      <c r="X190" s="41"/>
      <c r="Y190" s="41"/>
      <c r="Z190" s="41"/>
    </row>
    <row r="191" ht="15.75" customHeight="1">
      <c r="A191" s="43"/>
      <c r="B191" s="41"/>
      <c r="C191" s="41"/>
      <c r="D191" s="41"/>
      <c r="E191" s="41"/>
      <c r="F191" s="41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1"/>
      <c r="X191" s="41"/>
      <c r="Y191" s="41"/>
      <c r="Z191" s="41"/>
    </row>
    <row r="192" ht="15.75" customHeight="1">
      <c r="A192" s="43"/>
      <c r="B192" s="41"/>
      <c r="C192" s="41"/>
      <c r="D192" s="41"/>
      <c r="E192" s="41"/>
      <c r="F192" s="41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1"/>
      <c r="X192" s="41"/>
      <c r="Y192" s="41"/>
      <c r="Z192" s="41"/>
    </row>
    <row r="193" ht="15.75" customHeight="1">
      <c r="A193" s="43"/>
      <c r="B193" s="41"/>
      <c r="C193" s="41"/>
      <c r="D193" s="41"/>
      <c r="E193" s="41"/>
      <c r="F193" s="41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1"/>
      <c r="X193" s="41"/>
      <c r="Y193" s="41"/>
      <c r="Z193" s="41"/>
    </row>
    <row r="194" ht="15.75" customHeight="1">
      <c r="A194" s="43"/>
      <c r="B194" s="41"/>
      <c r="C194" s="41"/>
      <c r="D194" s="41"/>
      <c r="E194" s="41"/>
      <c r="F194" s="41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1"/>
      <c r="X194" s="41"/>
      <c r="Y194" s="41"/>
      <c r="Z194" s="41"/>
    </row>
    <row r="195" ht="15.75" customHeight="1">
      <c r="A195" s="43"/>
      <c r="B195" s="41"/>
      <c r="C195" s="41"/>
      <c r="D195" s="41"/>
      <c r="E195" s="41"/>
      <c r="F195" s="41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1"/>
      <c r="X195" s="41"/>
      <c r="Y195" s="41"/>
      <c r="Z195" s="41"/>
    </row>
    <row r="196" ht="15.75" customHeight="1">
      <c r="A196" s="43"/>
      <c r="B196" s="41"/>
      <c r="C196" s="41"/>
      <c r="D196" s="41"/>
      <c r="E196" s="41"/>
      <c r="F196" s="41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1"/>
      <c r="X196" s="41"/>
      <c r="Y196" s="41"/>
      <c r="Z196" s="41"/>
    </row>
    <row r="197" ht="15.75" customHeight="1">
      <c r="A197" s="43"/>
      <c r="B197" s="41"/>
      <c r="C197" s="41"/>
      <c r="D197" s="41"/>
      <c r="E197" s="41"/>
      <c r="F197" s="41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1"/>
      <c r="X197" s="41"/>
      <c r="Y197" s="41"/>
      <c r="Z197" s="41"/>
    </row>
    <row r="198" ht="15.75" customHeight="1">
      <c r="A198" s="43"/>
      <c r="B198" s="41"/>
      <c r="C198" s="41"/>
      <c r="D198" s="41"/>
      <c r="E198" s="41"/>
      <c r="F198" s="41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1"/>
      <c r="X198" s="41"/>
      <c r="Y198" s="41"/>
      <c r="Z198" s="41"/>
    </row>
    <row r="199" ht="15.75" customHeight="1">
      <c r="A199" s="43"/>
      <c r="B199" s="41"/>
      <c r="C199" s="41"/>
      <c r="D199" s="41"/>
      <c r="E199" s="41"/>
      <c r="F199" s="41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1"/>
      <c r="X199" s="41"/>
      <c r="Y199" s="41"/>
      <c r="Z199" s="41"/>
    </row>
    <row r="200" ht="15.75" customHeight="1">
      <c r="A200" s="43"/>
      <c r="B200" s="41"/>
      <c r="C200" s="41"/>
      <c r="D200" s="41"/>
      <c r="E200" s="41"/>
      <c r="F200" s="41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1"/>
      <c r="X200" s="41"/>
      <c r="Y200" s="41"/>
      <c r="Z200" s="41"/>
    </row>
    <row r="201" ht="15.75" customHeight="1">
      <c r="A201" s="43"/>
      <c r="B201" s="41"/>
      <c r="C201" s="41"/>
      <c r="D201" s="41"/>
      <c r="E201" s="41"/>
      <c r="F201" s="41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1"/>
      <c r="X201" s="41"/>
      <c r="Y201" s="41"/>
      <c r="Z201" s="41"/>
    </row>
    <row r="202" ht="15.75" customHeight="1">
      <c r="A202" s="43"/>
      <c r="B202" s="41"/>
      <c r="C202" s="41"/>
      <c r="D202" s="41"/>
      <c r="E202" s="41"/>
      <c r="F202" s="41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1"/>
      <c r="X202" s="41"/>
      <c r="Y202" s="41"/>
      <c r="Z202" s="41"/>
    </row>
    <row r="203" ht="15.75" customHeight="1">
      <c r="A203" s="43"/>
      <c r="B203" s="41"/>
      <c r="C203" s="41"/>
      <c r="D203" s="41"/>
      <c r="E203" s="41"/>
      <c r="F203" s="41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1"/>
      <c r="X203" s="41"/>
      <c r="Y203" s="41"/>
      <c r="Z203" s="41"/>
    </row>
    <row r="204" ht="15.75" customHeight="1">
      <c r="A204" s="43"/>
      <c r="B204" s="41"/>
      <c r="C204" s="41"/>
      <c r="D204" s="41"/>
      <c r="E204" s="41"/>
      <c r="F204" s="41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1"/>
      <c r="X204" s="41"/>
      <c r="Y204" s="41"/>
      <c r="Z204" s="41"/>
    </row>
    <row r="205" ht="15.75" customHeight="1">
      <c r="A205" s="43"/>
      <c r="B205" s="41"/>
      <c r="C205" s="41"/>
      <c r="D205" s="41"/>
      <c r="E205" s="41"/>
      <c r="F205" s="41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1"/>
      <c r="X205" s="41"/>
      <c r="Y205" s="41"/>
      <c r="Z205" s="41"/>
    </row>
    <row r="206" ht="15.75" customHeight="1">
      <c r="A206" s="43"/>
      <c r="B206" s="41"/>
      <c r="C206" s="41"/>
      <c r="D206" s="41"/>
      <c r="E206" s="41"/>
      <c r="F206" s="41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1"/>
      <c r="X206" s="41"/>
      <c r="Y206" s="41"/>
      <c r="Z206" s="41"/>
    </row>
    <row r="207" ht="15.75" customHeight="1">
      <c r="A207" s="43"/>
      <c r="B207" s="41"/>
      <c r="C207" s="41"/>
      <c r="D207" s="41"/>
      <c r="E207" s="41"/>
      <c r="F207" s="41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1"/>
      <c r="X207" s="41"/>
      <c r="Y207" s="41"/>
      <c r="Z207" s="41"/>
    </row>
    <row r="208" ht="15.75" customHeight="1">
      <c r="A208" s="43"/>
      <c r="B208" s="41"/>
      <c r="C208" s="41"/>
      <c r="D208" s="41"/>
      <c r="E208" s="41"/>
      <c r="F208" s="41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1"/>
      <c r="X208" s="41"/>
      <c r="Y208" s="41"/>
      <c r="Z208" s="41"/>
    </row>
    <row r="209" ht="15.75" customHeight="1">
      <c r="A209" s="43"/>
      <c r="B209" s="41"/>
      <c r="C209" s="41"/>
      <c r="D209" s="41"/>
      <c r="E209" s="41"/>
      <c r="F209" s="41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1"/>
      <c r="X209" s="41"/>
      <c r="Y209" s="41"/>
      <c r="Z209" s="41"/>
    </row>
    <row r="210" ht="15.75" customHeight="1">
      <c r="A210" s="43"/>
      <c r="B210" s="41"/>
      <c r="C210" s="41"/>
      <c r="D210" s="41"/>
      <c r="E210" s="41"/>
      <c r="F210" s="41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1"/>
      <c r="X210" s="41"/>
      <c r="Y210" s="41"/>
      <c r="Z210" s="41"/>
    </row>
    <row r="211" ht="15.75" customHeight="1">
      <c r="A211" s="43"/>
      <c r="B211" s="41"/>
      <c r="C211" s="41"/>
      <c r="D211" s="41"/>
      <c r="E211" s="41"/>
      <c r="F211" s="41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1"/>
      <c r="X211" s="41"/>
      <c r="Y211" s="41"/>
      <c r="Z211" s="41"/>
    </row>
    <row r="212" ht="15.75" customHeight="1">
      <c r="A212" s="43"/>
      <c r="B212" s="41"/>
      <c r="C212" s="41"/>
      <c r="D212" s="41"/>
      <c r="E212" s="41"/>
      <c r="F212" s="41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1"/>
      <c r="X212" s="41"/>
      <c r="Y212" s="41"/>
      <c r="Z212" s="41"/>
    </row>
    <row r="213" ht="15.75" customHeight="1">
      <c r="A213" s="43"/>
      <c r="B213" s="41"/>
      <c r="C213" s="41"/>
      <c r="D213" s="41"/>
      <c r="E213" s="41"/>
      <c r="F213" s="41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1"/>
      <c r="X213" s="41"/>
      <c r="Y213" s="41"/>
      <c r="Z213" s="41"/>
    </row>
    <row r="214" ht="15.75" customHeight="1">
      <c r="A214" s="43"/>
      <c r="B214" s="41"/>
      <c r="C214" s="41"/>
      <c r="D214" s="41"/>
      <c r="E214" s="41"/>
      <c r="F214" s="41"/>
      <c r="G214" s="41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1"/>
      <c r="X214" s="41"/>
      <c r="Y214" s="41"/>
      <c r="Z214" s="41"/>
    </row>
    <row r="215" ht="15.75" customHeight="1">
      <c r="A215" s="43"/>
      <c r="B215" s="41"/>
      <c r="C215" s="41"/>
      <c r="D215" s="41"/>
      <c r="E215" s="41"/>
      <c r="F215" s="41"/>
      <c r="G215" s="41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1"/>
      <c r="X215" s="41"/>
      <c r="Y215" s="41"/>
      <c r="Z215" s="41"/>
    </row>
    <row r="216" ht="15.75" customHeight="1">
      <c r="A216" s="43"/>
      <c r="B216" s="41"/>
      <c r="C216" s="41"/>
      <c r="D216" s="41"/>
      <c r="E216" s="41"/>
      <c r="F216" s="41"/>
      <c r="G216" s="41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1"/>
      <c r="X216" s="41"/>
      <c r="Y216" s="41"/>
      <c r="Z216" s="41"/>
    </row>
    <row r="217" ht="15.75" customHeight="1">
      <c r="A217" s="43"/>
      <c r="B217" s="41"/>
      <c r="C217" s="41"/>
      <c r="D217" s="41"/>
      <c r="E217" s="41"/>
      <c r="F217" s="41"/>
      <c r="G217" s="41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1"/>
      <c r="X217" s="41"/>
      <c r="Y217" s="41"/>
      <c r="Z217" s="41"/>
    </row>
    <row r="218" ht="15.75" customHeight="1">
      <c r="A218" s="43"/>
      <c r="B218" s="41"/>
      <c r="C218" s="41"/>
      <c r="D218" s="41"/>
      <c r="E218" s="41"/>
      <c r="F218" s="41"/>
      <c r="G218" s="41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1"/>
      <c r="X218" s="41"/>
      <c r="Y218" s="41"/>
      <c r="Z218" s="41"/>
    </row>
    <row r="219" ht="15.75" customHeight="1">
      <c r="A219" s="43"/>
      <c r="B219" s="41"/>
      <c r="C219" s="41"/>
      <c r="D219" s="41"/>
      <c r="E219" s="41"/>
      <c r="F219" s="41"/>
      <c r="G219" s="41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1"/>
      <c r="X219" s="41"/>
      <c r="Y219" s="41"/>
      <c r="Z219" s="41"/>
    </row>
    <row r="220" ht="15.75" customHeight="1">
      <c r="A220" s="43"/>
      <c r="B220" s="41"/>
      <c r="C220" s="41"/>
      <c r="D220" s="41"/>
      <c r="E220" s="41"/>
      <c r="F220" s="41"/>
      <c r="G220" s="41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1"/>
      <c r="X220" s="41"/>
      <c r="Y220" s="41"/>
      <c r="Z220" s="41"/>
    </row>
    <row r="221" ht="15.75" customHeight="1">
      <c r="A221" s="43"/>
      <c r="B221" s="41"/>
      <c r="C221" s="41"/>
      <c r="D221" s="41"/>
      <c r="E221" s="41"/>
      <c r="F221" s="41"/>
      <c r="G221" s="41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1"/>
      <c r="X221" s="41"/>
      <c r="Y221" s="41"/>
      <c r="Z221" s="41"/>
    </row>
    <row r="222" ht="15.75" customHeight="1">
      <c r="A222" s="43"/>
      <c r="B222" s="41"/>
      <c r="C222" s="41"/>
      <c r="D222" s="41"/>
      <c r="E222" s="41"/>
      <c r="F222" s="41"/>
      <c r="G222" s="41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1"/>
      <c r="X222" s="41"/>
      <c r="Y222" s="41"/>
      <c r="Z222" s="41"/>
    </row>
    <row r="223" ht="15.75" customHeight="1">
      <c r="A223" s="43"/>
      <c r="B223" s="41"/>
      <c r="C223" s="41"/>
      <c r="D223" s="41"/>
      <c r="E223" s="41"/>
      <c r="F223" s="41"/>
      <c r="G223" s="41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1"/>
      <c r="X223" s="41"/>
      <c r="Y223" s="41"/>
      <c r="Z223" s="4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24">
    <mergeCell ref="D10:D12"/>
    <mergeCell ref="E10:E12"/>
    <mergeCell ref="H2:I2"/>
    <mergeCell ref="J2:K2"/>
    <mergeCell ref="L2:M2"/>
    <mergeCell ref="N2:N3"/>
    <mergeCell ref="A10:A12"/>
    <mergeCell ref="B10:B12"/>
    <mergeCell ref="C10:C12"/>
    <mergeCell ref="H10:L10"/>
    <mergeCell ref="H11:J11"/>
    <mergeCell ref="M11:O11"/>
    <mergeCell ref="P11:P12"/>
    <mergeCell ref="Q11:Q12"/>
    <mergeCell ref="R11:T11"/>
    <mergeCell ref="U11:U12"/>
    <mergeCell ref="F10:F12"/>
    <mergeCell ref="G10:G12"/>
    <mergeCell ref="M10:Q10"/>
    <mergeCell ref="R10:V10"/>
    <mergeCell ref="W10:W12"/>
    <mergeCell ref="K11:K12"/>
    <mergeCell ref="L11:L12"/>
    <mergeCell ref="V11:V12"/>
  </mergeCells>
  <dataValidations>
    <dataValidation type="list" allowBlank="1" showErrorMessage="1" sqref="H13:I23 M13:N23 R13:S23">
      <formula1>"Passed,Failed,Blocked,Not Run"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33"/>
    <col customWidth="1" min="3" max="3" width="16.67"/>
    <col customWidth="1" min="4" max="4" width="22.33"/>
    <col customWidth="1" min="5" max="5" width="25.33"/>
    <col customWidth="1" min="6" max="7" width="33.44"/>
    <col customWidth="1" min="8" max="9" width="16.44"/>
    <col customWidth="1" min="10" max="10" width="17.33"/>
    <col customWidth="1" min="11" max="11" width="21.11"/>
    <col customWidth="1" min="12" max="12" width="13.11"/>
    <col customWidth="1" min="13" max="14" width="16.44"/>
    <col customWidth="1" min="15" max="15" width="17.33"/>
    <col customWidth="1" min="16" max="16" width="24.67"/>
    <col customWidth="1" min="17" max="17" width="13.67"/>
    <col customWidth="1" min="18" max="19" width="16.44"/>
    <col customWidth="1" min="20" max="20" width="17.33"/>
    <col customWidth="1" min="21" max="21" width="23.44"/>
    <col customWidth="1" min="22" max="22" width="13.33"/>
    <col customWidth="1" min="23" max="23" width="24.0"/>
    <col customWidth="1" min="24" max="26" width="10.56"/>
  </cols>
  <sheetData>
    <row r="1" ht="15.75" customHeight="1">
      <c r="A1" s="40" t="s">
        <v>61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1"/>
      <c r="X1" s="41"/>
      <c r="Y1" s="41"/>
      <c r="Z1" s="41"/>
    </row>
    <row r="2" ht="15.75" customHeight="1">
      <c r="A2" s="43"/>
      <c r="B2" s="41"/>
      <c r="C2" s="41"/>
      <c r="D2" s="41"/>
      <c r="E2" s="41"/>
      <c r="F2" s="41"/>
      <c r="G2" s="41"/>
      <c r="H2" s="29" t="s">
        <v>45</v>
      </c>
      <c r="I2" s="6"/>
      <c r="J2" s="29" t="s">
        <v>46</v>
      </c>
      <c r="K2" s="6"/>
      <c r="L2" s="29" t="s">
        <v>47</v>
      </c>
      <c r="M2" s="6"/>
      <c r="N2" s="28" t="s">
        <v>62</v>
      </c>
      <c r="O2" s="42"/>
      <c r="P2" s="42"/>
      <c r="Q2" s="42"/>
      <c r="R2" s="42"/>
      <c r="S2" s="42"/>
      <c r="T2" s="42"/>
      <c r="U2" s="42"/>
      <c r="V2" s="42"/>
      <c r="W2" s="41"/>
      <c r="X2" s="41"/>
      <c r="Y2" s="41"/>
      <c r="Z2" s="41"/>
    </row>
    <row r="3" ht="15.75" customHeight="1">
      <c r="A3" s="13" t="s">
        <v>24</v>
      </c>
      <c r="B3" s="13" t="s">
        <v>63</v>
      </c>
      <c r="C3" s="41"/>
      <c r="D3" s="13" t="s">
        <v>64</v>
      </c>
      <c r="E3" s="13" t="s">
        <v>65</v>
      </c>
      <c r="F3" s="41"/>
      <c r="G3" s="44"/>
      <c r="H3" s="45" t="s">
        <v>48</v>
      </c>
      <c r="I3" s="45" t="s">
        <v>49</v>
      </c>
      <c r="J3" s="45" t="s">
        <v>48</v>
      </c>
      <c r="K3" s="45" t="s">
        <v>49</v>
      </c>
      <c r="L3" s="45" t="s">
        <v>48</v>
      </c>
      <c r="M3" s="45" t="s">
        <v>49</v>
      </c>
      <c r="N3" s="34"/>
      <c r="O3" s="42"/>
      <c r="P3" s="42"/>
      <c r="Q3" s="42"/>
      <c r="R3" s="42"/>
      <c r="S3" s="42"/>
      <c r="T3" s="42"/>
      <c r="U3" s="42"/>
      <c r="V3" s="42"/>
      <c r="W3" s="41"/>
      <c r="X3" s="41"/>
      <c r="Y3" s="41"/>
      <c r="Z3" s="41"/>
    </row>
    <row r="4" ht="15.75" customHeight="1">
      <c r="A4" s="46" t="s">
        <v>16</v>
      </c>
      <c r="B4" s="18" t="s">
        <v>32</v>
      </c>
      <c r="C4" s="41"/>
      <c r="D4" s="46" t="s">
        <v>469</v>
      </c>
      <c r="E4" s="47" t="s">
        <v>416</v>
      </c>
      <c r="F4" s="41"/>
      <c r="G4" s="13" t="s">
        <v>68</v>
      </c>
      <c r="H4" s="48">
        <f t="shared" ref="H4:I4" si="1">COUNTIF(H13:H202,"PASSED")</f>
        <v>11</v>
      </c>
      <c r="I4" s="48">
        <f t="shared" si="1"/>
        <v>11</v>
      </c>
      <c r="J4" s="48">
        <f t="shared" ref="J4:K4" si="2">COUNTIF(M13:M202,"PASSED")</f>
        <v>11</v>
      </c>
      <c r="K4" s="48">
        <f t="shared" si="2"/>
        <v>11</v>
      </c>
      <c r="L4" s="48">
        <f t="shared" ref="L4:M4" si="3">COUNTIF(R13:R202,"PASSED")</f>
        <v>11</v>
      </c>
      <c r="M4" s="48">
        <f t="shared" si="3"/>
        <v>11</v>
      </c>
      <c r="N4" s="48">
        <f t="shared" ref="N4:N8" si="7">SUM(H4:M4)</f>
        <v>66</v>
      </c>
      <c r="O4" s="42"/>
      <c r="P4" s="42"/>
      <c r="Q4" s="42"/>
      <c r="R4" s="42"/>
      <c r="S4" s="42"/>
      <c r="T4" s="42"/>
      <c r="U4" s="42"/>
      <c r="V4" s="42"/>
      <c r="W4" s="41"/>
      <c r="X4" s="41"/>
      <c r="Y4" s="41"/>
      <c r="Z4" s="41"/>
    </row>
    <row r="5" ht="15.75" customHeight="1">
      <c r="A5" s="49"/>
      <c r="B5" s="49"/>
      <c r="C5" s="41"/>
      <c r="D5" s="49"/>
      <c r="E5" s="49"/>
      <c r="F5" s="41"/>
      <c r="G5" s="13" t="s">
        <v>69</v>
      </c>
      <c r="H5" s="48">
        <f t="shared" ref="H5:I5" si="4">COUNTIF(H13:H212,"FAILED")</f>
        <v>0</v>
      </c>
      <c r="I5" s="48">
        <f t="shared" si="4"/>
        <v>0</v>
      </c>
      <c r="J5" s="48">
        <f t="shared" ref="J5:K5" si="5">COUNTIF(M14:M203,"FAILED")</f>
        <v>0</v>
      </c>
      <c r="K5" s="48">
        <f t="shared" si="5"/>
        <v>0</v>
      </c>
      <c r="L5" s="48">
        <f t="shared" ref="L5:M5" si="6">COUNTIF(R14:R203,"FAILED")</f>
        <v>0</v>
      </c>
      <c r="M5" s="48">
        <f t="shared" si="6"/>
        <v>0</v>
      </c>
      <c r="N5" s="48">
        <f t="shared" si="7"/>
        <v>0</v>
      </c>
      <c r="O5" s="42"/>
      <c r="P5" s="42"/>
      <c r="Q5" s="42"/>
      <c r="R5" s="42"/>
      <c r="S5" s="42"/>
      <c r="T5" s="42"/>
      <c r="U5" s="42"/>
      <c r="V5" s="42"/>
      <c r="W5" s="41"/>
      <c r="X5" s="41"/>
      <c r="Y5" s="41"/>
      <c r="Z5" s="41"/>
    </row>
    <row r="6" ht="15.75" customHeight="1">
      <c r="A6" s="49"/>
      <c r="B6" s="49"/>
      <c r="C6" s="41"/>
      <c r="D6" s="49"/>
      <c r="E6" s="49"/>
      <c r="F6" s="41"/>
      <c r="G6" s="13" t="s">
        <v>70</v>
      </c>
      <c r="H6" s="48">
        <f t="shared" ref="H6:I6" si="8">COUNTIF(H13:H222,"BLOCKED")</f>
        <v>0</v>
      </c>
      <c r="I6" s="48">
        <f t="shared" si="8"/>
        <v>0</v>
      </c>
      <c r="J6" s="48">
        <f t="shared" ref="J6:K6" si="9">COUNTIF(M15:M204,"BLOCKED")</f>
        <v>0</v>
      </c>
      <c r="K6" s="48">
        <f t="shared" si="9"/>
        <v>0</v>
      </c>
      <c r="L6" s="48">
        <f t="shared" ref="L6:M6" si="10">COUNTIF(R15:R204,"BLOCKED")</f>
        <v>0</v>
      </c>
      <c r="M6" s="48">
        <f t="shared" si="10"/>
        <v>0</v>
      </c>
      <c r="N6" s="48">
        <f t="shared" si="7"/>
        <v>0</v>
      </c>
      <c r="O6" s="42"/>
      <c r="P6" s="42"/>
      <c r="Q6" s="42"/>
      <c r="R6" s="42"/>
      <c r="S6" s="42"/>
      <c r="T6" s="42"/>
      <c r="U6" s="42"/>
      <c r="V6" s="42"/>
      <c r="W6" s="41"/>
      <c r="X6" s="41"/>
      <c r="Y6" s="41"/>
      <c r="Z6" s="41"/>
    </row>
    <row r="7" ht="15.75" customHeight="1">
      <c r="A7" s="49"/>
      <c r="B7" s="49"/>
      <c r="C7" s="41"/>
      <c r="D7" s="49"/>
      <c r="E7" s="49"/>
      <c r="F7" s="41"/>
      <c r="G7" s="13" t="s">
        <v>71</v>
      </c>
      <c r="H7" s="48">
        <f t="shared" ref="H7:I7" si="11">COUNTIF(H13:H232,"NOT RUN")</f>
        <v>0</v>
      </c>
      <c r="I7" s="48">
        <f t="shared" si="11"/>
        <v>0</v>
      </c>
      <c r="J7" s="48">
        <f t="shared" ref="J7:K7" si="12">COUNTIF(M16:M205,"NOT RUN")</f>
        <v>0</v>
      </c>
      <c r="K7" s="48">
        <f t="shared" si="12"/>
        <v>0</v>
      </c>
      <c r="L7" s="48">
        <f t="shared" ref="L7:M7" si="13">COUNTIF(R16:R205,"NOT RUN")</f>
        <v>0</v>
      </c>
      <c r="M7" s="48">
        <f t="shared" si="13"/>
        <v>0</v>
      </c>
      <c r="N7" s="48">
        <f t="shared" si="7"/>
        <v>0</v>
      </c>
      <c r="O7" s="42"/>
      <c r="P7" s="42"/>
      <c r="Q7" s="42"/>
      <c r="R7" s="42"/>
      <c r="S7" s="42"/>
      <c r="T7" s="42"/>
      <c r="U7" s="42"/>
      <c r="V7" s="42"/>
      <c r="W7" s="41"/>
      <c r="X7" s="41"/>
      <c r="Y7" s="41"/>
      <c r="Z7" s="41"/>
    </row>
    <row r="8" ht="15.75" customHeight="1">
      <c r="A8" s="49"/>
      <c r="B8" s="49"/>
      <c r="C8" s="41"/>
      <c r="D8" s="49"/>
      <c r="E8" s="49"/>
      <c r="F8" s="41"/>
      <c r="G8" s="13" t="s">
        <v>72</v>
      </c>
      <c r="H8" s="48">
        <f t="shared" ref="H8:M8" si="14">COUNTA($G13:$G214)</f>
        <v>11</v>
      </c>
      <c r="I8" s="48">
        <f t="shared" si="14"/>
        <v>11</v>
      </c>
      <c r="J8" s="48">
        <f t="shared" si="14"/>
        <v>11</v>
      </c>
      <c r="K8" s="48">
        <f t="shared" si="14"/>
        <v>11</v>
      </c>
      <c r="L8" s="48">
        <f t="shared" si="14"/>
        <v>11</v>
      </c>
      <c r="M8" s="48">
        <f t="shared" si="14"/>
        <v>11</v>
      </c>
      <c r="N8" s="48">
        <f t="shared" si="7"/>
        <v>66</v>
      </c>
      <c r="O8" s="42"/>
      <c r="P8" s="42"/>
      <c r="Q8" s="42"/>
      <c r="R8" s="42"/>
      <c r="S8" s="42"/>
      <c r="T8" s="42"/>
      <c r="U8" s="42"/>
      <c r="V8" s="42"/>
      <c r="W8" s="41"/>
      <c r="X8" s="41"/>
      <c r="Y8" s="41"/>
      <c r="Z8" s="41"/>
    </row>
    <row r="9" ht="15.75" customHeight="1">
      <c r="A9" s="43"/>
      <c r="B9" s="41"/>
      <c r="C9" s="41"/>
      <c r="D9" s="41"/>
      <c r="E9" s="41"/>
      <c r="F9" s="41"/>
      <c r="G9" s="41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1"/>
      <c r="X9" s="41"/>
      <c r="Y9" s="41"/>
      <c r="Z9" s="41"/>
    </row>
    <row r="10" ht="15.75" customHeight="1">
      <c r="A10" s="28" t="s">
        <v>20</v>
      </c>
      <c r="B10" s="28" t="s">
        <v>73</v>
      </c>
      <c r="C10" s="28" t="s">
        <v>74</v>
      </c>
      <c r="D10" s="28" t="s">
        <v>75</v>
      </c>
      <c r="E10" s="28" t="s">
        <v>76</v>
      </c>
      <c r="F10" s="28" t="s">
        <v>77</v>
      </c>
      <c r="G10" s="28" t="s">
        <v>78</v>
      </c>
      <c r="H10" s="29" t="s">
        <v>45</v>
      </c>
      <c r="I10" s="30"/>
      <c r="J10" s="30"/>
      <c r="K10" s="30"/>
      <c r="L10" s="6"/>
      <c r="M10" s="29" t="s">
        <v>46</v>
      </c>
      <c r="N10" s="30"/>
      <c r="O10" s="30"/>
      <c r="P10" s="30"/>
      <c r="Q10" s="6"/>
      <c r="R10" s="29" t="s">
        <v>47</v>
      </c>
      <c r="S10" s="30"/>
      <c r="T10" s="30"/>
      <c r="U10" s="30"/>
      <c r="V10" s="6"/>
      <c r="W10" s="28" t="s">
        <v>27</v>
      </c>
      <c r="X10" s="12"/>
      <c r="Y10" s="12"/>
      <c r="Z10" s="12"/>
    </row>
    <row r="11" ht="15.75" customHeight="1">
      <c r="A11" s="32"/>
      <c r="B11" s="32"/>
      <c r="C11" s="32"/>
      <c r="D11" s="32"/>
      <c r="E11" s="32"/>
      <c r="F11" s="32"/>
      <c r="G11" s="32"/>
      <c r="H11" s="29" t="s">
        <v>79</v>
      </c>
      <c r="I11" s="30"/>
      <c r="J11" s="6"/>
      <c r="K11" s="28" t="s">
        <v>80</v>
      </c>
      <c r="L11" s="28" t="s">
        <v>81</v>
      </c>
      <c r="M11" s="29" t="s">
        <v>79</v>
      </c>
      <c r="N11" s="30"/>
      <c r="O11" s="6"/>
      <c r="P11" s="28" t="s">
        <v>80</v>
      </c>
      <c r="Q11" s="28" t="s">
        <v>81</v>
      </c>
      <c r="R11" s="29" t="s">
        <v>79</v>
      </c>
      <c r="S11" s="30"/>
      <c r="T11" s="6"/>
      <c r="U11" s="28" t="s">
        <v>80</v>
      </c>
      <c r="V11" s="28" t="s">
        <v>81</v>
      </c>
      <c r="W11" s="32"/>
      <c r="X11" s="41"/>
      <c r="Y11" s="41"/>
      <c r="Z11" s="41"/>
    </row>
    <row r="12" ht="15.75" customHeight="1">
      <c r="A12" s="34"/>
      <c r="B12" s="34"/>
      <c r="C12" s="34"/>
      <c r="D12" s="34"/>
      <c r="E12" s="34"/>
      <c r="F12" s="34"/>
      <c r="G12" s="34"/>
      <c r="H12" s="45" t="s">
        <v>48</v>
      </c>
      <c r="I12" s="45" t="s">
        <v>49</v>
      </c>
      <c r="J12" s="13" t="s">
        <v>82</v>
      </c>
      <c r="K12" s="34"/>
      <c r="L12" s="34"/>
      <c r="M12" s="45" t="s">
        <v>48</v>
      </c>
      <c r="N12" s="45" t="s">
        <v>49</v>
      </c>
      <c r="O12" s="13" t="s">
        <v>82</v>
      </c>
      <c r="P12" s="34"/>
      <c r="Q12" s="34"/>
      <c r="R12" s="45" t="s">
        <v>48</v>
      </c>
      <c r="S12" s="45" t="s">
        <v>49</v>
      </c>
      <c r="T12" s="13" t="s">
        <v>82</v>
      </c>
      <c r="U12" s="34"/>
      <c r="V12" s="34"/>
      <c r="W12" s="34"/>
      <c r="X12" s="41"/>
      <c r="Y12" s="41"/>
      <c r="Z12" s="41"/>
    </row>
    <row r="13" ht="30.75" customHeight="1">
      <c r="A13" s="17" t="str">
        <f t="shared" ref="A13:A23" si="15">"ID-00"&amp;(ROW()-(ROW($A$12)))</f>
        <v>ID-001</v>
      </c>
      <c r="B13" s="19" t="s">
        <v>137</v>
      </c>
      <c r="C13" s="19" t="s">
        <v>470</v>
      </c>
      <c r="D13" s="22" t="s">
        <v>418</v>
      </c>
      <c r="E13" s="22" t="s">
        <v>471</v>
      </c>
      <c r="F13" s="22" t="s">
        <v>472</v>
      </c>
      <c r="G13" s="22" t="s">
        <v>473</v>
      </c>
      <c r="H13" s="16" t="s">
        <v>50</v>
      </c>
      <c r="I13" s="21" t="s">
        <v>50</v>
      </c>
      <c r="J13" s="21" t="s">
        <v>88</v>
      </c>
      <c r="K13" s="35" t="s">
        <v>474</v>
      </c>
      <c r="L13" s="21" t="s">
        <v>423</v>
      </c>
      <c r="M13" s="21" t="s">
        <v>50</v>
      </c>
      <c r="N13" s="21" t="s">
        <v>50</v>
      </c>
      <c r="O13" s="21" t="s">
        <v>88</v>
      </c>
      <c r="P13" s="35" t="s">
        <v>475</v>
      </c>
      <c r="Q13" s="21" t="s">
        <v>423</v>
      </c>
      <c r="R13" s="21" t="s">
        <v>50</v>
      </c>
      <c r="S13" s="21" t="s">
        <v>50</v>
      </c>
      <c r="T13" s="21" t="s">
        <v>88</v>
      </c>
      <c r="U13" s="35" t="s">
        <v>476</v>
      </c>
      <c r="V13" s="21" t="s">
        <v>423</v>
      </c>
      <c r="W13" s="7"/>
      <c r="X13" s="41"/>
      <c r="Y13" s="41"/>
      <c r="Z13" s="41"/>
    </row>
    <row r="14" ht="34.5" customHeight="1">
      <c r="A14" s="17" t="str">
        <f t="shared" si="15"/>
        <v>ID-002</v>
      </c>
      <c r="B14" s="22" t="s">
        <v>137</v>
      </c>
      <c r="C14" s="22" t="s">
        <v>477</v>
      </c>
      <c r="D14" s="22" t="s">
        <v>478</v>
      </c>
      <c r="E14" s="22" t="s">
        <v>479</v>
      </c>
      <c r="F14" s="22" t="s">
        <v>480</v>
      </c>
      <c r="G14" s="22" t="s">
        <v>481</v>
      </c>
      <c r="H14" s="21" t="s">
        <v>50</v>
      </c>
      <c r="I14" s="21" t="s">
        <v>50</v>
      </c>
      <c r="J14" s="21" t="s">
        <v>88</v>
      </c>
      <c r="K14" s="35" t="s">
        <v>474</v>
      </c>
      <c r="L14" s="21" t="s">
        <v>423</v>
      </c>
      <c r="M14" s="21" t="s">
        <v>50</v>
      </c>
      <c r="N14" s="21" t="s">
        <v>50</v>
      </c>
      <c r="O14" s="21" t="s">
        <v>88</v>
      </c>
      <c r="P14" s="23">
        <v>46206.0</v>
      </c>
      <c r="Q14" s="21" t="s">
        <v>423</v>
      </c>
      <c r="R14" s="21" t="s">
        <v>50</v>
      </c>
      <c r="S14" s="21" t="s">
        <v>50</v>
      </c>
      <c r="T14" s="21" t="s">
        <v>88</v>
      </c>
      <c r="U14" s="23">
        <v>46359.0</v>
      </c>
      <c r="V14" s="21" t="s">
        <v>423</v>
      </c>
      <c r="W14" s="7"/>
      <c r="X14" s="41"/>
      <c r="Y14" s="41"/>
      <c r="Z14" s="41"/>
    </row>
    <row r="15" ht="44.25" customHeight="1">
      <c r="A15" s="17" t="str">
        <f t="shared" si="15"/>
        <v>ID-003</v>
      </c>
      <c r="B15" s="22" t="s">
        <v>143</v>
      </c>
      <c r="C15" s="22" t="s">
        <v>482</v>
      </c>
      <c r="D15" s="22" t="s">
        <v>483</v>
      </c>
      <c r="E15" s="22" t="s">
        <v>484</v>
      </c>
      <c r="F15" s="22" t="s">
        <v>485</v>
      </c>
      <c r="G15" s="22" t="s">
        <v>486</v>
      </c>
      <c r="H15" s="21" t="s">
        <v>50</v>
      </c>
      <c r="I15" s="21" t="s">
        <v>50</v>
      </c>
      <c r="J15" s="21" t="s">
        <v>88</v>
      </c>
      <c r="K15" s="35" t="s">
        <v>474</v>
      </c>
      <c r="L15" s="21" t="s">
        <v>423</v>
      </c>
      <c r="M15" s="21" t="s">
        <v>50</v>
      </c>
      <c r="N15" s="21" t="s">
        <v>50</v>
      </c>
      <c r="O15" s="21" t="s">
        <v>88</v>
      </c>
      <c r="P15" s="23">
        <v>46206.0</v>
      </c>
      <c r="Q15" s="21" t="s">
        <v>423</v>
      </c>
      <c r="R15" s="21" t="s">
        <v>50</v>
      </c>
      <c r="S15" s="21" t="s">
        <v>50</v>
      </c>
      <c r="T15" s="21" t="s">
        <v>88</v>
      </c>
      <c r="U15" s="23">
        <v>46359.0</v>
      </c>
      <c r="V15" s="21" t="s">
        <v>423</v>
      </c>
      <c r="W15" s="7"/>
      <c r="X15" s="41"/>
      <c r="Y15" s="41"/>
      <c r="Z15" s="41"/>
    </row>
    <row r="16" ht="41.25" customHeight="1">
      <c r="A16" s="17" t="str">
        <f t="shared" si="15"/>
        <v>ID-004</v>
      </c>
      <c r="B16" s="22" t="s">
        <v>137</v>
      </c>
      <c r="C16" s="22" t="s">
        <v>487</v>
      </c>
      <c r="D16" s="22" t="s">
        <v>483</v>
      </c>
      <c r="E16" s="22" t="s">
        <v>488</v>
      </c>
      <c r="F16" s="22" t="s">
        <v>489</v>
      </c>
      <c r="G16" s="22" t="s">
        <v>490</v>
      </c>
      <c r="H16" s="21" t="s">
        <v>50</v>
      </c>
      <c r="I16" s="16" t="s">
        <v>50</v>
      </c>
      <c r="J16" s="21" t="s">
        <v>88</v>
      </c>
      <c r="K16" s="35" t="s">
        <v>474</v>
      </c>
      <c r="L16" s="21" t="s">
        <v>423</v>
      </c>
      <c r="M16" s="21" t="s">
        <v>50</v>
      </c>
      <c r="N16" s="21" t="s">
        <v>50</v>
      </c>
      <c r="O16" s="21" t="s">
        <v>88</v>
      </c>
      <c r="P16" s="23">
        <v>46206.0</v>
      </c>
      <c r="Q16" s="21" t="s">
        <v>423</v>
      </c>
      <c r="R16" s="21" t="s">
        <v>50</v>
      </c>
      <c r="S16" s="21" t="s">
        <v>50</v>
      </c>
      <c r="T16" s="21" t="s">
        <v>88</v>
      </c>
      <c r="U16" s="23">
        <v>46359.0</v>
      </c>
      <c r="V16" s="21" t="s">
        <v>423</v>
      </c>
      <c r="W16" s="7"/>
      <c r="X16" s="41"/>
      <c r="Y16" s="41"/>
      <c r="Z16" s="41"/>
    </row>
    <row r="17" ht="31.5" customHeight="1">
      <c r="A17" s="17" t="str">
        <f t="shared" si="15"/>
        <v>ID-005</v>
      </c>
      <c r="B17" s="22" t="s">
        <v>143</v>
      </c>
      <c r="C17" s="22" t="s">
        <v>491</v>
      </c>
      <c r="D17" s="22" t="s">
        <v>492</v>
      </c>
      <c r="E17" s="22" t="s">
        <v>493</v>
      </c>
      <c r="F17" s="22" t="s">
        <v>494</v>
      </c>
      <c r="G17" s="22" t="s">
        <v>495</v>
      </c>
      <c r="H17" s="21" t="s">
        <v>50</v>
      </c>
      <c r="I17" s="21" t="s">
        <v>50</v>
      </c>
      <c r="J17" s="21" t="s">
        <v>88</v>
      </c>
      <c r="K17" s="23">
        <v>46056.0</v>
      </c>
      <c r="L17" s="21" t="s">
        <v>423</v>
      </c>
      <c r="M17" s="21" t="s">
        <v>50</v>
      </c>
      <c r="N17" s="21" t="s">
        <v>50</v>
      </c>
      <c r="O17" s="21" t="s">
        <v>88</v>
      </c>
      <c r="P17" s="23">
        <v>46206.0</v>
      </c>
      <c r="Q17" s="21" t="s">
        <v>423</v>
      </c>
      <c r="R17" s="21" t="s">
        <v>50</v>
      </c>
      <c r="S17" s="21" t="s">
        <v>50</v>
      </c>
      <c r="T17" s="21" t="s">
        <v>88</v>
      </c>
      <c r="U17" s="23">
        <v>46359.0</v>
      </c>
      <c r="V17" s="21" t="s">
        <v>423</v>
      </c>
      <c r="W17" s="7"/>
      <c r="X17" s="41"/>
      <c r="Y17" s="41"/>
      <c r="Z17" s="41"/>
    </row>
    <row r="18" ht="31.5" customHeight="1">
      <c r="A18" s="17" t="str">
        <f t="shared" si="15"/>
        <v>ID-006</v>
      </c>
      <c r="B18" s="22" t="s">
        <v>143</v>
      </c>
      <c r="C18" s="22" t="s">
        <v>496</v>
      </c>
      <c r="D18" s="22" t="s">
        <v>497</v>
      </c>
      <c r="E18" s="22" t="s">
        <v>498</v>
      </c>
      <c r="F18" s="22" t="s">
        <v>499</v>
      </c>
      <c r="G18" s="22" t="s">
        <v>500</v>
      </c>
      <c r="H18" s="21" t="s">
        <v>50</v>
      </c>
      <c r="I18" s="21" t="s">
        <v>50</v>
      </c>
      <c r="J18" s="21" t="s">
        <v>88</v>
      </c>
      <c r="K18" s="23">
        <v>46056.0</v>
      </c>
      <c r="L18" s="21" t="s">
        <v>423</v>
      </c>
      <c r="M18" s="21" t="s">
        <v>50</v>
      </c>
      <c r="N18" s="21" t="s">
        <v>50</v>
      </c>
      <c r="O18" s="21" t="s">
        <v>88</v>
      </c>
      <c r="P18" s="23">
        <v>46206.0</v>
      </c>
      <c r="Q18" s="21" t="s">
        <v>423</v>
      </c>
      <c r="R18" s="21" t="s">
        <v>50</v>
      </c>
      <c r="S18" s="21" t="s">
        <v>50</v>
      </c>
      <c r="T18" s="21" t="s">
        <v>88</v>
      </c>
      <c r="U18" s="23">
        <v>46359.0</v>
      </c>
      <c r="V18" s="21" t="s">
        <v>423</v>
      </c>
      <c r="W18" s="7"/>
      <c r="X18" s="41"/>
      <c r="Y18" s="41"/>
      <c r="Z18" s="41"/>
    </row>
    <row r="19" ht="32.25" customHeight="1">
      <c r="A19" s="17" t="str">
        <f t="shared" si="15"/>
        <v>ID-007</v>
      </c>
      <c r="B19" s="22" t="s">
        <v>143</v>
      </c>
      <c r="C19" s="22" t="s">
        <v>501</v>
      </c>
      <c r="D19" s="22" t="s">
        <v>497</v>
      </c>
      <c r="E19" s="22" t="s">
        <v>502</v>
      </c>
      <c r="F19" s="22" t="s">
        <v>503</v>
      </c>
      <c r="G19" s="22" t="s">
        <v>504</v>
      </c>
      <c r="H19" s="21" t="s">
        <v>50</v>
      </c>
      <c r="I19" s="21" t="s">
        <v>50</v>
      </c>
      <c r="J19" s="21" t="s">
        <v>88</v>
      </c>
      <c r="K19" s="23">
        <v>46056.0</v>
      </c>
      <c r="L19" s="21" t="s">
        <v>423</v>
      </c>
      <c r="M19" s="21" t="s">
        <v>50</v>
      </c>
      <c r="N19" s="21" t="s">
        <v>50</v>
      </c>
      <c r="O19" s="21" t="s">
        <v>88</v>
      </c>
      <c r="P19" s="23">
        <v>46206.0</v>
      </c>
      <c r="Q19" s="21" t="s">
        <v>423</v>
      </c>
      <c r="R19" s="21" t="s">
        <v>50</v>
      </c>
      <c r="S19" s="21" t="s">
        <v>50</v>
      </c>
      <c r="T19" s="21" t="s">
        <v>88</v>
      </c>
      <c r="U19" s="23">
        <v>46359.0</v>
      </c>
      <c r="V19" s="21" t="s">
        <v>423</v>
      </c>
      <c r="W19" s="7"/>
      <c r="X19" s="41"/>
      <c r="Y19" s="41"/>
      <c r="Z19" s="41"/>
    </row>
    <row r="20" ht="29.25" customHeight="1">
      <c r="A20" s="17" t="str">
        <f t="shared" si="15"/>
        <v>ID-008</v>
      </c>
      <c r="B20" s="22" t="s">
        <v>137</v>
      </c>
      <c r="C20" s="22" t="s">
        <v>505</v>
      </c>
      <c r="D20" s="22" t="s">
        <v>483</v>
      </c>
      <c r="E20" s="22" t="s">
        <v>506</v>
      </c>
      <c r="F20" s="22" t="s">
        <v>507</v>
      </c>
      <c r="G20" s="22" t="s">
        <v>508</v>
      </c>
      <c r="H20" s="21" t="s">
        <v>50</v>
      </c>
      <c r="I20" s="21" t="s">
        <v>50</v>
      </c>
      <c r="J20" s="21" t="s">
        <v>88</v>
      </c>
      <c r="K20" s="23">
        <v>46056.0</v>
      </c>
      <c r="L20" s="21" t="s">
        <v>423</v>
      </c>
      <c r="M20" s="21" t="s">
        <v>50</v>
      </c>
      <c r="N20" s="21" t="s">
        <v>50</v>
      </c>
      <c r="O20" s="21" t="s">
        <v>88</v>
      </c>
      <c r="P20" s="23">
        <v>46206.0</v>
      </c>
      <c r="Q20" s="21" t="s">
        <v>423</v>
      </c>
      <c r="R20" s="21" t="s">
        <v>50</v>
      </c>
      <c r="S20" s="21" t="s">
        <v>50</v>
      </c>
      <c r="T20" s="21" t="s">
        <v>88</v>
      </c>
      <c r="U20" s="23">
        <v>46359.0</v>
      </c>
      <c r="V20" s="21" t="s">
        <v>423</v>
      </c>
      <c r="W20" s="7"/>
      <c r="X20" s="41"/>
      <c r="Y20" s="41"/>
      <c r="Z20" s="41"/>
    </row>
    <row r="21" ht="32.25" customHeight="1">
      <c r="A21" s="17" t="str">
        <f t="shared" si="15"/>
        <v>ID-009</v>
      </c>
      <c r="B21" s="22" t="s">
        <v>143</v>
      </c>
      <c r="C21" s="22" t="s">
        <v>509</v>
      </c>
      <c r="D21" s="22" t="s">
        <v>510</v>
      </c>
      <c r="E21" s="22" t="s">
        <v>511</v>
      </c>
      <c r="F21" s="22" t="s">
        <v>512</v>
      </c>
      <c r="G21" s="22" t="s">
        <v>513</v>
      </c>
      <c r="H21" s="21" t="s">
        <v>50</v>
      </c>
      <c r="I21" s="21" t="s">
        <v>50</v>
      </c>
      <c r="J21" s="21" t="s">
        <v>88</v>
      </c>
      <c r="K21" s="23">
        <v>46056.0</v>
      </c>
      <c r="L21" s="21" t="s">
        <v>423</v>
      </c>
      <c r="M21" s="21" t="s">
        <v>50</v>
      </c>
      <c r="N21" s="21" t="s">
        <v>50</v>
      </c>
      <c r="O21" s="21" t="s">
        <v>88</v>
      </c>
      <c r="P21" s="23">
        <v>46206.0</v>
      </c>
      <c r="Q21" s="21" t="s">
        <v>423</v>
      </c>
      <c r="R21" s="21" t="s">
        <v>50</v>
      </c>
      <c r="S21" s="21" t="s">
        <v>50</v>
      </c>
      <c r="T21" s="21" t="s">
        <v>88</v>
      </c>
      <c r="U21" s="23">
        <v>46359.0</v>
      </c>
      <c r="V21" s="21" t="s">
        <v>423</v>
      </c>
      <c r="W21" s="7"/>
      <c r="X21" s="41"/>
      <c r="Y21" s="41"/>
      <c r="Z21" s="41"/>
    </row>
    <row r="22" ht="33.0" customHeight="1">
      <c r="A22" s="17" t="str">
        <f t="shared" si="15"/>
        <v>ID-0010</v>
      </c>
      <c r="B22" s="22" t="s">
        <v>143</v>
      </c>
      <c r="C22" s="22" t="s">
        <v>514</v>
      </c>
      <c r="D22" s="22" t="s">
        <v>515</v>
      </c>
      <c r="E22" s="22" t="s">
        <v>516</v>
      </c>
      <c r="F22" s="22" t="s">
        <v>512</v>
      </c>
      <c r="G22" s="22" t="s">
        <v>517</v>
      </c>
      <c r="H22" s="21" t="s">
        <v>50</v>
      </c>
      <c r="I22" s="21" t="s">
        <v>50</v>
      </c>
      <c r="J22" s="21" t="s">
        <v>88</v>
      </c>
      <c r="K22" s="23">
        <v>46056.0</v>
      </c>
      <c r="L22" s="21" t="s">
        <v>423</v>
      </c>
      <c r="M22" s="21" t="s">
        <v>50</v>
      </c>
      <c r="N22" s="21" t="s">
        <v>50</v>
      </c>
      <c r="O22" s="21" t="s">
        <v>88</v>
      </c>
      <c r="P22" s="23">
        <v>46206.0</v>
      </c>
      <c r="Q22" s="21" t="s">
        <v>423</v>
      </c>
      <c r="R22" s="21" t="s">
        <v>50</v>
      </c>
      <c r="S22" s="21" t="s">
        <v>50</v>
      </c>
      <c r="T22" s="21" t="s">
        <v>88</v>
      </c>
      <c r="U22" s="23">
        <v>46359.0</v>
      </c>
      <c r="V22" s="21" t="s">
        <v>423</v>
      </c>
      <c r="W22" s="7"/>
      <c r="X22" s="41"/>
      <c r="Y22" s="41"/>
      <c r="Z22" s="41"/>
    </row>
    <row r="23" ht="30.0" customHeight="1">
      <c r="A23" s="17" t="str">
        <f t="shared" si="15"/>
        <v>ID-0011</v>
      </c>
      <c r="B23" s="22" t="s">
        <v>137</v>
      </c>
      <c r="C23" s="22" t="s">
        <v>518</v>
      </c>
      <c r="D23" s="22" t="s">
        <v>497</v>
      </c>
      <c r="E23" s="22" t="s">
        <v>519</v>
      </c>
      <c r="F23" s="22" t="s">
        <v>520</v>
      </c>
      <c r="G23" s="22" t="s">
        <v>521</v>
      </c>
      <c r="H23" s="21" t="s">
        <v>50</v>
      </c>
      <c r="I23" s="21" t="s">
        <v>50</v>
      </c>
      <c r="J23" s="21" t="s">
        <v>88</v>
      </c>
      <c r="K23" s="23">
        <v>46056.0</v>
      </c>
      <c r="L23" s="21" t="s">
        <v>423</v>
      </c>
      <c r="M23" s="21" t="s">
        <v>50</v>
      </c>
      <c r="N23" s="21" t="s">
        <v>50</v>
      </c>
      <c r="O23" s="21" t="s">
        <v>88</v>
      </c>
      <c r="P23" s="23">
        <v>46206.0</v>
      </c>
      <c r="Q23" s="21" t="s">
        <v>423</v>
      </c>
      <c r="R23" s="21" t="s">
        <v>50</v>
      </c>
      <c r="S23" s="21" t="s">
        <v>50</v>
      </c>
      <c r="T23" s="21" t="s">
        <v>88</v>
      </c>
      <c r="U23" s="23">
        <v>46359.0</v>
      </c>
      <c r="V23" s="21" t="s">
        <v>423</v>
      </c>
      <c r="W23" s="7"/>
      <c r="X23" s="41"/>
      <c r="Y23" s="41"/>
      <c r="Z23" s="41"/>
    </row>
    <row r="24" ht="15.75" customHeight="1">
      <c r="A24" s="43"/>
      <c r="B24" s="41"/>
      <c r="C24" s="41"/>
      <c r="D24" s="41"/>
      <c r="E24" s="41"/>
      <c r="F24" s="41"/>
      <c r="G24" s="41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1"/>
      <c r="X24" s="41"/>
      <c r="Y24" s="41"/>
      <c r="Z24" s="41"/>
    </row>
    <row r="25" ht="15.75" customHeight="1">
      <c r="A25" s="43"/>
      <c r="B25" s="41"/>
      <c r="C25" s="41"/>
      <c r="D25" s="41"/>
      <c r="E25" s="41"/>
      <c r="F25" s="41"/>
      <c r="G25" s="41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1"/>
      <c r="X25" s="41"/>
      <c r="Y25" s="41"/>
      <c r="Z25" s="41"/>
    </row>
    <row r="26" ht="15.75" customHeight="1">
      <c r="A26" s="43"/>
      <c r="B26" s="41"/>
      <c r="C26" s="41"/>
      <c r="D26" s="41"/>
      <c r="E26" s="41"/>
      <c r="F26" s="41"/>
      <c r="G26" s="41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1"/>
      <c r="X26" s="41"/>
      <c r="Y26" s="41"/>
      <c r="Z26" s="41"/>
    </row>
    <row r="27" ht="15.75" customHeight="1">
      <c r="A27" s="43"/>
      <c r="B27" s="41"/>
      <c r="C27" s="41"/>
      <c r="D27" s="41"/>
      <c r="E27" s="41"/>
      <c r="F27" s="41"/>
      <c r="G27" s="41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1"/>
      <c r="X27" s="41"/>
      <c r="Y27" s="41"/>
      <c r="Z27" s="41"/>
    </row>
    <row r="28" ht="15.75" customHeight="1">
      <c r="A28" s="43"/>
      <c r="B28" s="41"/>
      <c r="C28" s="41"/>
      <c r="D28" s="41"/>
      <c r="E28" s="41"/>
      <c r="F28" s="41"/>
      <c r="G28" s="41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1"/>
      <c r="X28" s="41"/>
      <c r="Y28" s="41"/>
      <c r="Z28" s="41"/>
    </row>
    <row r="29" ht="15.75" customHeight="1">
      <c r="A29" s="43"/>
      <c r="B29" s="41"/>
      <c r="C29" s="41"/>
      <c r="D29" s="41"/>
      <c r="E29" s="41"/>
      <c r="F29" s="41"/>
      <c r="G29" s="41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1"/>
      <c r="X29" s="41"/>
      <c r="Y29" s="41"/>
      <c r="Z29" s="41"/>
    </row>
    <row r="30" ht="15.75" customHeight="1">
      <c r="A30" s="43"/>
      <c r="B30" s="41"/>
      <c r="C30" s="41"/>
      <c r="D30" s="41"/>
      <c r="E30" s="41"/>
      <c r="F30" s="41"/>
      <c r="G30" s="41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1"/>
      <c r="X30" s="41"/>
      <c r="Y30" s="41"/>
      <c r="Z30" s="41"/>
    </row>
    <row r="31" ht="15.75" customHeight="1">
      <c r="A31" s="43"/>
      <c r="B31" s="41"/>
      <c r="C31" s="41"/>
      <c r="D31" s="41"/>
      <c r="E31" s="41"/>
      <c r="F31" s="41"/>
      <c r="G31" s="41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1"/>
      <c r="X31" s="41"/>
      <c r="Y31" s="41"/>
      <c r="Z31" s="41"/>
    </row>
    <row r="32" ht="15.75" customHeight="1">
      <c r="A32" s="43"/>
      <c r="B32" s="41"/>
      <c r="C32" s="41"/>
      <c r="D32" s="41"/>
      <c r="E32" s="41"/>
      <c r="F32" s="41"/>
      <c r="G32" s="41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1"/>
      <c r="X32" s="41"/>
      <c r="Y32" s="41"/>
      <c r="Z32" s="41"/>
    </row>
    <row r="33" ht="15.75" customHeight="1">
      <c r="A33" s="43"/>
      <c r="B33" s="41"/>
      <c r="C33" s="41"/>
      <c r="D33" s="41"/>
      <c r="E33" s="41"/>
      <c r="F33" s="41"/>
      <c r="G33" s="41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1"/>
      <c r="X33" s="41"/>
      <c r="Y33" s="41"/>
      <c r="Z33" s="41"/>
    </row>
    <row r="34" ht="15.75" customHeight="1">
      <c r="A34" s="43"/>
      <c r="B34" s="41"/>
      <c r="C34" s="41"/>
      <c r="D34" s="41"/>
      <c r="E34" s="41"/>
      <c r="F34" s="41"/>
      <c r="G34" s="41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1"/>
      <c r="X34" s="41"/>
      <c r="Y34" s="41"/>
      <c r="Z34" s="41"/>
    </row>
    <row r="35" ht="15.75" customHeight="1">
      <c r="A35" s="43"/>
      <c r="B35" s="41"/>
      <c r="C35" s="41"/>
      <c r="D35" s="41"/>
      <c r="E35" s="41"/>
      <c r="F35" s="41"/>
      <c r="G35" s="41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1"/>
      <c r="X35" s="41"/>
      <c r="Y35" s="41"/>
      <c r="Z35" s="41"/>
    </row>
    <row r="36" ht="15.75" customHeight="1">
      <c r="A36" s="43"/>
      <c r="B36" s="41"/>
      <c r="C36" s="41"/>
      <c r="D36" s="41"/>
      <c r="E36" s="41"/>
      <c r="F36" s="41"/>
      <c r="G36" s="41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1"/>
      <c r="X36" s="41"/>
      <c r="Y36" s="41"/>
      <c r="Z36" s="41"/>
    </row>
    <row r="37" ht="15.75" customHeight="1">
      <c r="A37" s="43"/>
      <c r="B37" s="41"/>
      <c r="C37" s="41"/>
      <c r="D37" s="41"/>
      <c r="E37" s="41"/>
      <c r="F37" s="41"/>
      <c r="G37" s="41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1"/>
      <c r="X37" s="41"/>
      <c r="Y37" s="41"/>
      <c r="Z37" s="41"/>
    </row>
    <row r="38" ht="15.75" customHeight="1">
      <c r="A38" s="43"/>
      <c r="B38" s="41"/>
      <c r="C38" s="41"/>
      <c r="D38" s="41"/>
      <c r="E38" s="41"/>
      <c r="F38" s="41"/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1"/>
      <c r="X38" s="41"/>
      <c r="Y38" s="41"/>
      <c r="Z38" s="41"/>
    </row>
    <row r="39" ht="15.75" customHeight="1">
      <c r="A39" s="43"/>
      <c r="B39" s="41"/>
      <c r="C39" s="41"/>
      <c r="D39" s="41"/>
      <c r="E39" s="41"/>
      <c r="F39" s="41"/>
      <c r="G39" s="41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1"/>
      <c r="X39" s="41"/>
      <c r="Y39" s="41"/>
      <c r="Z39" s="41"/>
    </row>
    <row r="40" ht="15.75" customHeight="1">
      <c r="A40" s="43"/>
      <c r="B40" s="41"/>
      <c r="C40" s="41"/>
      <c r="D40" s="41"/>
      <c r="E40" s="41"/>
      <c r="F40" s="41"/>
      <c r="G40" s="41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1"/>
      <c r="X40" s="41"/>
      <c r="Y40" s="41"/>
      <c r="Z40" s="41"/>
    </row>
    <row r="41" ht="15.75" customHeight="1">
      <c r="A41" s="43"/>
      <c r="B41" s="41"/>
      <c r="C41" s="41"/>
      <c r="D41" s="41"/>
      <c r="E41" s="41"/>
      <c r="F41" s="41"/>
      <c r="G41" s="41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1"/>
      <c r="X41" s="41"/>
      <c r="Y41" s="41"/>
      <c r="Z41" s="41"/>
    </row>
    <row r="42" ht="15.75" customHeight="1">
      <c r="A42" s="43"/>
      <c r="B42" s="41"/>
      <c r="C42" s="41"/>
      <c r="D42" s="41"/>
      <c r="E42" s="41"/>
      <c r="F42" s="41"/>
      <c r="G42" s="41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1"/>
      <c r="X42" s="41"/>
      <c r="Y42" s="41"/>
      <c r="Z42" s="41"/>
    </row>
    <row r="43" ht="15.75" customHeight="1">
      <c r="A43" s="43"/>
      <c r="B43" s="41"/>
      <c r="C43" s="41"/>
      <c r="D43" s="41"/>
      <c r="E43" s="41"/>
      <c r="F43" s="41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1"/>
      <c r="X43" s="41"/>
      <c r="Y43" s="41"/>
      <c r="Z43" s="41"/>
    </row>
    <row r="44" ht="15.75" customHeight="1">
      <c r="A44" s="43"/>
      <c r="B44" s="41"/>
      <c r="C44" s="41"/>
      <c r="D44" s="41"/>
      <c r="E44" s="41"/>
      <c r="F44" s="41"/>
      <c r="G44" s="41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1"/>
      <c r="X44" s="41"/>
      <c r="Y44" s="41"/>
      <c r="Z44" s="41"/>
    </row>
    <row r="45" ht="15.75" customHeight="1">
      <c r="A45" s="43"/>
      <c r="B45" s="41"/>
      <c r="C45" s="41"/>
      <c r="D45" s="41"/>
      <c r="E45" s="4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1"/>
      <c r="X45" s="41"/>
      <c r="Y45" s="41"/>
      <c r="Z45" s="41"/>
    </row>
    <row r="46" ht="15.75" customHeight="1">
      <c r="A46" s="43"/>
      <c r="B46" s="41"/>
      <c r="C46" s="41"/>
      <c r="D46" s="41"/>
      <c r="E46" s="41"/>
      <c r="F46" s="41"/>
      <c r="G46" s="41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1"/>
      <c r="X46" s="41"/>
      <c r="Y46" s="41"/>
      <c r="Z46" s="41"/>
    </row>
    <row r="47" ht="15.75" customHeight="1">
      <c r="A47" s="43"/>
      <c r="B47" s="41"/>
      <c r="C47" s="41"/>
      <c r="D47" s="41"/>
      <c r="E47" s="41"/>
      <c r="F47" s="41"/>
      <c r="G47" s="41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1"/>
      <c r="X47" s="41"/>
      <c r="Y47" s="41"/>
      <c r="Z47" s="41"/>
    </row>
    <row r="48" ht="15.75" customHeight="1">
      <c r="A48" s="43"/>
      <c r="B48" s="41"/>
      <c r="C48" s="41"/>
      <c r="D48" s="41"/>
      <c r="E48" s="41"/>
      <c r="F48" s="41"/>
      <c r="G48" s="41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1"/>
      <c r="X48" s="41"/>
      <c r="Y48" s="41"/>
      <c r="Z48" s="41"/>
    </row>
    <row r="49" ht="15.75" customHeight="1">
      <c r="A49" s="43"/>
      <c r="B49" s="41"/>
      <c r="C49" s="41"/>
      <c r="D49" s="41"/>
      <c r="E49" s="41"/>
      <c r="F49" s="41"/>
      <c r="G49" s="41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1"/>
      <c r="X49" s="41"/>
      <c r="Y49" s="41"/>
      <c r="Z49" s="41"/>
    </row>
    <row r="50" ht="15.75" customHeight="1">
      <c r="A50" s="43"/>
      <c r="B50" s="41"/>
      <c r="C50" s="41"/>
      <c r="D50" s="41"/>
      <c r="E50" s="41"/>
      <c r="F50" s="41"/>
      <c r="G50" s="41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1"/>
      <c r="X50" s="41"/>
      <c r="Y50" s="41"/>
      <c r="Z50" s="41"/>
    </row>
    <row r="51" ht="15.75" customHeight="1">
      <c r="A51" s="43"/>
      <c r="B51" s="41"/>
      <c r="C51" s="41"/>
      <c r="D51" s="41"/>
      <c r="E51" s="41"/>
      <c r="F51" s="41"/>
      <c r="G51" s="41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1"/>
      <c r="X51" s="41"/>
      <c r="Y51" s="41"/>
      <c r="Z51" s="41"/>
    </row>
    <row r="52" ht="15.75" customHeight="1">
      <c r="A52" s="43"/>
      <c r="B52" s="41"/>
      <c r="C52" s="41"/>
      <c r="D52" s="41"/>
      <c r="E52" s="41"/>
      <c r="F52" s="41"/>
      <c r="G52" s="41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1"/>
      <c r="X52" s="41"/>
      <c r="Y52" s="41"/>
      <c r="Z52" s="41"/>
    </row>
    <row r="53" ht="15.75" customHeight="1">
      <c r="A53" s="43"/>
      <c r="B53" s="41"/>
      <c r="C53" s="41"/>
      <c r="D53" s="41"/>
      <c r="E53" s="41"/>
      <c r="F53" s="41"/>
      <c r="G53" s="41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1"/>
      <c r="X53" s="41"/>
      <c r="Y53" s="41"/>
      <c r="Z53" s="41"/>
    </row>
    <row r="54" ht="15.75" customHeight="1">
      <c r="A54" s="43"/>
      <c r="B54" s="41"/>
      <c r="C54" s="41"/>
      <c r="D54" s="41"/>
      <c r="E54" s="41"/>
      <c r="F54" s="41"/>
      <c r="G54" s="41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1"/>
      <c r="X54" s="41"/>
      <c r="Y54" s="41"/>
      <c r="Z54" s="41"/>
    </row>
    <row r="55" ht="15.75" customHeight="1">
      <c r="A55" s="43"/>
      <c r="B55" s="41"/>
      <c r="C55" s="41"/>
      <c r="D55" s="41"/>
      <c r="E55" s="41"/>
      <c r="F55" s="41"/>
      <c r="G55" s="41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1"/>
      <c r="X55" s="41"/>
      <c r="Y55" s="41"/>
      <c r="Z55" s="41"/>
    </row>
    <row r="56" ht="15.75" customHeight="1">
      <c r="A56" s="43"/>
      <c r="B56" s="41"/>
      <c r="C56" s="41"/>
      <c r="D56" s="41"/>
      <c r="E56" s="41"/>
      <c r="F56" s="41"/>
      <c r="G56" s="41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1"/>
      <c r="X56" s="41"/>
      <c r="Y56" s="41"/>
      <c r="Z56" s="41"/>
    </row>
    <row r="57" ht="15.75" customHeight="1">
      <c r="A57" s="43"/>
      <c r="B57" s="41"/>
      <c r="C57" s="41"/>
      <c r="D57" s="41"/>
      <c r="E57" s="4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1"/>
      <c r="X57" s="41"/>
      <c r="Y57" s="41"/>
      <c r="Z57" s="41"/>
    </row>
    <row r="58" ht="15.75" customHeight="1">
      <c r="A58" s="43"/>
      <c r="B58" s="41"/>
      <c r="C58" s="41"/>
      <c r="D58" s="41"/>
      <c r="E58" s="41"/>
      <c r="F58" s="41"/>
      <c r="G58" s="41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1"/>
      <c r="X58" s="41"/>
      <c r="Y58" s="41"/>
      <c r="Z58" s="41"/>
    </row>
    <row r="59" ht="15.75" customHeight="1">
      <c r="A59" s="43"/>
      <c r="B59" s="41"/>
      <c r="C59" s="41"/>
      <c r="D59" s="41"/>
      <c r="E59" s="41"/>
      <c r="F59" s="41"/>
      <c r="G59" s="41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1"/>
      <c r="X59" s="41"/>
      <c r="Y59" s="41"/>
      <c r="Z59" s="41"/>
    </row>
    <row r="60" ht="15.75" customHeight="1">
      <c r="A60" s="43"/>
      <c r="B60" s="41"/>
      <c r="C60" s="41"/>
      <c r="D60" s="41"/>
      <c r="E60" s="41"/>
      <c r="F60" s="41"/>
      <c r="G60" s="41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1"/>
      <c r="X60" s="41"/>
      <c r="Y60" s="41"/>
      <c r="Z60" s="41"/>
    </row>
    <row r="61" ht="15.75" customHeight="1">
      <c r="A61" s="43"/>
      <c r="B61" s="41"/>
      <c r="C61" s="41"/>
      <c r="D61" s="41"/>
      <c r="E61" s="41"/>
      <c r="F61" s="41"/>
      <c r="G61" s="41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1"/>
      <c r="X61" s="41"/>
      <c r="Y61" s="41"/>
      <c r="Z61" s="41"/>
    </row>
    <row r="62" ht="15.75" customHeight="1">
      <c r="A62" s="43"/>
      <c r="B62" s="41"/>
      <c r="C62" s="41"/>
      <c r="D62" s="41"/>
      <c r="E62" s="41"/>
      <c r="F62" s="41"/>
      <c r="G62" s="41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1"/>
      <c r="X62" s="41"/>
      <c r="Y62" s="41"/>
      <c r="Z62" s="41"/>
    </row>
    <row r="63" ht="15.75" customHeight="1">
      <c r="A63" s="43"/>
      <c r="B63" s="41"/>
      <c r="C63" s="41"/>
      <c r="D63" s="41"/>
      <c r="E63" s="41"/>
      <c r="F63" s="41"/>
      <c r="G63" s="41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1"/>
      <c r="X63" s="41"/>
      <c r="Y63" s="41"/>
      <c r="Z63" s="41"/>
    </row>
    <row r="64" ht="15.75" customHeight="1">
      <c r="A64" s="43"/>
      <c r="B64" s="41"/>
      <c r="C64" s="41"/>
      <c r="D64" s="41"/>
      <c r="E64" s="41"/>
      <c r="F64" s="41"/>
      <c r="G64" s="41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1"/>
      <c r="X64" s="41"/>
      <c r="Y64" s="41"/>
      <c r="Z64" s="41"/>
    </row>
    <row r="65" ht="15.75" customHeight="1">
      <c r="A65" s="43"/>
      <c r="B65" s="41"/>
      <c r="C65" s="41"/>
      <c r="D65" s="41"/>
      <c r="E65" s="41"/>
      <c r="F65" s="41"/>
      <c r="G65" s="41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1"/>
      <c r="X65" s="41"/>
      <c r="Y65" s="41"/>
      <c r="Z65" s="41"/>
    </row>
    <row r="66" ht="15.75" customHeight="1">
      <c r="A66" s="43"/>
      <c r="B66" s="41"/>
      <c r="C66" s="41"/>
      <c r="D66" s="41"/>
      <c r="E66" s="41"/>
      <c r="F66" s="41"/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1"/>
      <c r="X66" s="41"/>
      <c r="Y66" s="41"/>
      <c r="Z66" s="41"/>
    </row>
    <row r="67" ht="15.75" customHeight="1">
      <c r="A67" s="43"/>
      <c r="B67" s="41"/>
      <c r="C67" s="41"/>
      <c r="D67" s="41"/>
      <c r="E67" s="41"/>
      <c r="F67" s="41"/>
      <c r="G67" s="41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1"/>
      <c r="X67" s="41"/>
      <c r="Y67" s="41"/>
      <c r="Z67" s="41"/>
    </row>
    <row r="68" ht="15.75" customHeight="1">
      <c r="A68" s="43"/>
      <c r="B68" s="41"/>
      <c r="C68" s="41"/>
      <c r="D68" s="41"/>
      <c r="E68" s="41"/>
      <c r="F68" s="41"/>
      <c r="G68" s="41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1"/>
      <c r="X68" s="41"/>
      <c r="Y68" s="41"/>
      <c r="Z68" s="41"/>
    </row>
    <row r="69" ht="15.75" customHeight="1">
      <c r="A69" s="43"/>
      <c r="B69" s="41"/>
      <c r="C69" s="41"/>
      <c r="D69" s="41"/>
      <c r="E69" s="41"/>
      <c r="F69" s="41"/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1"/>
      <c r="X69" s="41"/>
      <c r="Y69" s="41"/>
      <c r="Z69" s="41"/>
    </row>
    <row r="70" ht="15.75" customHeight="1">
      <c r="A70" s="43"/>
      <c r="B70" s="41"/>
      <c r="C70" s="41"/>
      <c r="D70" s="41"/>
      <c r="E70" s="41"/>
      <c r="F70" s="41"/>
      <c r="G70" s="41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1"/>
      <c r="X70" s="41"/>
      <c r="Y70" s="41"/>
      <c r="Z70" s="41"/>
    </row>
    <row r="71" ht="15.75" customHeight="1">
      <c r="A71" s="43"/>
      <c r="B71" s="41"/>
      <c r="C71" s="41"/>
      <c r="D71" s="41"/>
      <c r="E71" s="41"/>
      <c r="F71" s="41"/>
      <c r="G71" s="41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1"/>
      <c r="X71" s="41"/>
      <c r="Y71" s="41"/>
      <c r="Z71" s="41"/>
    </row>
    <row r="72" ht="15.75" customHeight="1">
      <c r="A72" s="43"/>
      <c r="B72" s="41"/>
      <c r="C72" s="41"/>
      <c r="D72" s="41"/>
      <c r="E72" s="41"/>
      <c r="F72" s="41"/>
      <c r="G72" s="41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1"/>
      <c r="X72" s="41"/>
      <c r="Y72" s="41"/>
      <c r="Z72" s="41"/>
    </row>
    <row r="73" ht="15.75" customHeight="1">
      <c r="A73" s="43"/>
      <c r="B73" s="41"/>
      <c r="C73" s="41"/>
      <c r="D73" s="41"/>
      <c r="E73" s="41"/>
      <c r="F73" s="41"/>
      <c r="G73" s="41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1"/>
      <c r="X73" s="41"/>
      <c r="Y73" s="41"/>
      <c r="Z73" s="41"/>
    </row>
    <row r="74" ht="15.75" customHeight="1">
      <c r="A74" s="43"/>
      <c r="B74" s="41"/>
      <c r="C74" s="41"/>
      <c r="D74" s="41"/>
      <c r="E74" s="41"/>
      <c r="F74" s="41"/>
      <c r="G74" s="41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1"/>
      <c r="X74" s="41"/>
      <c r="Y74" s="41"/>
      <c r="Z74" s="41"/>
    </row>
    <row r="75" ht="15.75" customHeight="1">
      <c r="A75" s="43"/>
      <c r="B75" s="41"/>
      <c r="C75" s="41"/>
      <c r="D75" s="41"/>
      <c r="E75" s="41"/>
      <c r="F75" s="41"/>
      <c r="G75" s="41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1"/>
      <c r="X75" s="41"/>
      <c r="Y75" s="41"/>
      <c r="Z75" s="41"/>
    </row>
    <row r="76" ht="15.75" customHeight="1">
      <c r="A76" s="43"/>
      <c r="B76" s="41"/>
      <c r="C76" s="41"/>
      <c r="D76" s="41"/>
      <c r="E76" s="41"/>
      <c r="F76" s="41"/>
      <c r="G76" s="41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1"/>
      <c r="X76" s="41"/>
      <c r="Y76" s="41"/>
      <c r="Z76" s="41"/>
    </row>
    <row r="77" ht="15.75" customHeight="1">
      <c r="A77" s="43"/>
      <c r="B77" s="41"/>
      <c r="C77" s="41"/>
      <c r="D77" s="41"/>
      <c r="E77" s="41"/>
      <c r="F77" s="41"/>
      <c r="G77" s="41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1"/>
      <c r="X77" s="41"/>
      <c r="Y77" s="41"/>
      <c r="Z77" s="41"/>
    </row>
    <row r="78" ht="15.75" customHeight="1">
      <c r="A78" s="43"/>
      <c r="B78" s="41"/>
      <c r="C78" s="41"/>
      <c r="D78" s="41"/>
      <c r="E78" s="41"/>
      <c r="F78" s="41"/>
      <c r="G78" s="41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1"/>
      <c r="X78" s="41"/>
      <c r="Y78" s="41"/>
      <c r="Z78" s="41"/>
    </row>
    <row r="79" ht="15.75" customHeight="1">
      <c r="A79" s="43"/>
      <c r="B79" s="41"/>
      <c r="C79" s="41"/>
      <c r="D79" s="41"/>
      <c r="E79" s="41"/>
      <c r="F79" s="41"/>
      <c r="G79" s="41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1"/>
      <c r="X79" s="41"/>
      <c r="Y79" s="41"/>
      <c r="Z79" s="41"/>
    </row>
    <row r="80" ht="15.75" customHeight="1">
      <c r="A80" s="43"/>
      <c r="B80" s="41"/>
      <c r="C80" s="41"/>
      <c r="D80" s="41"/>
      <c r="E80" s="4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1"/>
      <c r="X80" s="41"/>
      <c r="Y80" s="41"/>
      <c r="Z80" s="41"/>
    </row>
    <row r="81" ht="15.75" customHeight="1">
      <c r="A81" s="43"/>
      <c r="B81" s="41"/>
      <c r="C81" s="41"/>
      <c r="D81" s="41"/>
      <c r="E81" s="41"/>
      <c r="F81" s="41"/>
      <c r="G81" s="41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1"/>
      <c r="X81" s="41"/>
      <c r="Y81" s="41"/>
      <c r="Z81" s="41"/>
    </row>
    <row r="82" ht="15.75" customHeight="1">
      <c r="A82" s="43"/>
      <c r="B82" s="41"/>
      <c r="C82" s="41"/>
      <c r="D82" s="41"/>
      <c r="E82" s="4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1"/>
      <c r="X82" s="41"/>
      <c r="Y82" s="41"/>
      <c r="Z82" s="41"/>
    </row>
    <row r="83" ht="15.75" customHeight="1">
      <c r="A83" s="43"/>
      <c r="B83" s="41"/>
      <c r="C83" s="41"/>
      <c r="D83" s="41"/>
      <c r="E83" s="4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1"/>
      <c r="X83" s="41"/>
      <c r="Y83" s="41"/>
      <c r="Z83" s="41"/>
    </row>
    <row r="84" ht="15.75" customHeight="1">
      <c r="A84" s="43"/>
      <c r="B84" s="41"/>
      <c r="C84" s="41"/>
      <c r="D84" s="41"/>
      <c r="E84" s="4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1"/>
      <c r="X84" s="41"/>
      <c r="Y84" s="41"/>
      <c r="Z84" s="41"/>
    </row>
    <row r="85" ht="15.75" customHeight="1">
      <c r="A85" s="43"/>
      <c r="B85" s="41"/>
      <c r="C85" s="41"/>
      <c r="D85" s="41"/>
      <c r="E85" s="41"/>
      <c r="F85" s="41"/>
      <c r="G85" s="41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1"/>
      <c r="X85" s="41"/>
      <c r="Y85" s="41"/>
      <c r="Z85" s="41"/>
    </row>
    <row r="86" ht="15.75" customHeight="1">
      <c r="A86" s="43"/>
      <c r="B86" s="41"/>
      <c r="C86" s="41"/>
      <c r="D86" s="41"/>
      <c r="E86" s="41"/>
      <c r="F86" s="41"/>
      <c r="G86" s="41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1"/>
      <c r="X86" s="41"/>
      <c r="Y86" s="41"/>
      <c r="Z86" s="41"/>
    </row>
    <row r="87" ht="15.75" customHeight="1">
      <c r="A87" s="43"/>
      <c r="B87" s="41"/>
      <c r="C87" s="41"/>
      <c r="D87" s="41"/>
      <c r="E87" s="41"/>
      <c r="F87" s="41"/>
      <c r="G87" s="41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1"/>
      <c r="X87" s="41"/>
      <c r="Y87" s="41"/>
      <c r="Z87" s="41"/>
    </row>
    <row r="88" ht="15.75" customHeight="1">
      <c r="A88" s="43"/>
      <c r="B88" s="41"/>
      <c r="C88" s="41"/>
      <c r="D88" s="41"/>
      <c r="E88" s="41"/>
      <c r="F88" s="41"/>
      <c r="G88" s="41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1"/>
      <c r="X88" s="41"/>
      <c r="Y88" s="41"/>
      <c r="Z88" s="41"/>
    </row>
    <row r="89" ht="15.75" customHeight="1">
      <c r="A89" s="43"/>
      <c r="B89" s="41"/>
      <c r="C89" s="41"/>
      <c r="D89" s="41"/>
      <c r="E89" s="4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1"/>
      <c r="X89" s="41"/>
      <c r="Y89" s="41"/>
      <c r="Z89" s="41"/>
    </row>
    <row r="90" ht="15.75" customHeight="1">
      <c r="A90" s="43"/>
      <c r="B90" s="41"/>
      <c r="C90" s="41"/>
      <c r="D90" s="41"/>
      <c r="E90" s="41"/>
      <c r="F90" s="41"/>
      <c r="G90" s="41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1"/>
      <c r="X90" s="41"/>
      <c r="Y90" s="41"/>
      <c r="Z90" s="41"/>
    </row>
    <row r="91" ht="15.75" customHeight="1">
      <c r="A91" s="43"/>
      <c r="B91" s="41"/>
      <c r="C91" s="41"/>
      <c r="D91" s="41"/>
      <c r="E91" s="41"/>
      <c r="F91" s="41"/>
      <c r="G91" s="41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1"/>
      <c r="X91" s="41"/>
      <c r="Y91" s="41"/>
      <c r="Z91" s="41"/>
    </row>
    <row r="92" ht="15.75" customHeight="1">
      <c r="A92" s="43"/>
      <c r="B92" s="41"/>
      <c r="C92" s="41"/>
      <c r="D92" s="41"/>
      <c r="E92" s="41"/>
      <c r="F92" s="41"/>
      <c r="G92" s="41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1"/>
      <c r="X92" s="41"/>
      <c r="Y92" s="41"/>
      <c r="Z92" s="41"/>
    </row>
    <row r="93" ht="15.75" customHeight="1">
      <c r="A93" s="43"/>
      <c r="B93" s="41"/>
      <c r="C93" s="41"/>
      <c r="D93" s="41"/>
      <c r="E93" s="41"/>
      <c r="F93" s="41"/>
      <c r="G93" s="41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1"/>
      <c r="X93" s="41"/>
      <c r="Y93" s="41"/>
      <c r="Z93" s="41"/>
    </row>
    <row r="94" ht="15.75" customHeight="1">
      <c r="A94" s="43"/>
      <c r="B94" s="41"/>
      <c r="C94" s="41"/>
      <c r="D94" s="41"/>
      <c r="E94" s="41"/>
      <c r="F94" s="41"/>
      <c r="G94" s="41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1"/>
      <c r="X94" s="41"/>
      <c r="Y94" s="41"/>
      <c r="Z94" s="41"/>
    </row>
    <row r="95" ht="15.75" customHeight="1">
      <c r="A95" s="43"/>
      <c r="B95" s="41"/>
      <c r="C95" s="41"/>
      <c r="D95" s="41"/>
      <c r="E95" s="41"/>
      <c r="F95" s="41"/>
      <c r="G95" s="41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1"/>
      <c r="X95" s="41"/>
      <c r="Y95" s="41"/>
      <c r="Z95" s="41"/>
    </row>
    <row r="96" ht="15.75" customHeight="1">
      <c r="A96" s="43"/>
      <c r="B96" s="41"/>
      <c r="C96" s="41"/>
      <c r="D96" s="41"/>
      <c r="E96" s="41"/>
      <c r="F96" s="41"/>
      <c r="G96" s="41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1"/>
      <c r="X96" s="41"/>
      <c r="Y96" s="41"/>
      <c r="Z96" s="41"/>
    </row>
    <row r="97" ht="15.75" customHeight="1">
      <c r="A97" s="43"/>
      <c r="B97" s="41"/>
      <c r="C97" s="41"/>
      <c r="D97" s="41"/>
      <c r="E97" s="41"/>
      <c r="F97" s="41"/>
      <c r="G97" s="41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1"/>
      <c r="X97" s="41"/>
      <c r="Y97" s="41"/>
      <c r="Z97" s="41"/>
    </row>
    <row r="98" ht="15.75" customHeight="1">
      <c r="A98" s="43"/>
      <c r="B98" s="41"/>
      <c r="C98" s="41"/>
      <c r="D98" s="41"/>
      <c r="E98" s="41"/>
      <c r="F98" s="41"/>
      <c r="G98" s="41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1"/>
      <c r="X98" s="41"/>
      <c r="Y98" s="41"/>
      <c r="Z98" s="41"/>
    </row>
    <row r="99" ht="15.75" customHeight="1">
      <c r="A99" s="43"/>
      <c r="B99" s="41"/>
      <c r="C99" s="41"/>
      <c r="D99" s="41"/>
      <c r="E99" s="41"/>
      <c r="F99" s="41"/>
      <c r="G99" s="41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1"/>
      <c r="X99" s="41"/>
      <c r="Y99" s="41"/>
      <c r="Z99" s="41"/>
    </row>
    <row r="100" ht="15.75" customHeight="1">
      <c r="A100" s="43"/>
      <c r="B100" s="41"/>
      <c r="C100" s="41"/>
      <c r="D100" s="41"/>
      <c r="E100" s="41"/>
      <c r="F100" s="41"/>
      <c r="G100" s="41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1"/>
      <c r="X100" s="41"/>
      <c r="Y100" s="41"/>
      <c r="Z100" s="41"/>
    </row>
    <row r="101" ht="15.75" customHeight="1">
      <c r="A101" s="43"/>
      <c r="B101" s="41"/>
      <c r="C101" s="41"/>
      <c r="D101" s="41"/>
      <c r="E101" s="41"/>
      <c r="F101" s="41"/>
      <c r="G101" s="41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1"/>
      <c r="X101" s="41"/>
      <c r="Y101" s="41"/>
      <c r="Z101" s="41"/>
    </row>
    <row r="102" ht="15.75" customHeight="1">
      <c r="A102" s="43"/>
      <c r="B102" s="41"/>
      <c r="C102" s="41"/>
      <c r="D102" s="41"/>
      <c r="E102" s="41"/>
      <c r="F102" s="41"/>
      <c r="G102" s="41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1"/>
      <c r="X102" s="41"/>
      <c r="Y102" s="41"/>
      <c r="Z102" s="41"/>
    </row>
    <row r="103" ht="15.75" customHeight="1">
      <c r="A103" s="43"/>
      <c r="B103" s="41"/>
      <c r="C103" s="41"/>
      <c r="D103" s="41"/>
      <c r="E103" s="41"/>
      <c r="F103" s="41"/>
      <c r="G103" s="41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1"/>
      <c r="X103" s="41"/>
      <c r="Y103" s="41"/>
      <c r="Z103" s="41"/>
    </row>
    <row r="104" ht="15.75" customHeight="1">
      <c r="A104" s="43"/>
      <c r="B104" s="41"/>
      <c r="C104" s="41"/>
      <c r="D104" s="41"/>
      <c r="E104" s="41"/>
      <c r="F104" s="41"/>
      <c r="G104" s="41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1"/>
      <c r="X104" s="41"/>
      <c r="Y104" s="41"/>
      <c r="Z104" s="41"/>
    </row>
    <row r="105" ht="15.75" customHeight="1">
      <c r="A105" s="43"/>
      <c r="B105" s="41"/>
      <c r="C105" s="41"/>
      <c r="D105" s="41"/>
      <c r="E105" s="41"/>
      <c r="F105" s="41"/>
      <c r="G105" s="41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1"/>
      <c r="X105" s="41"/>
      <c r="Y105" s="41"/>
      <c r="Z105" s="41"/>
    </row>
    <row r="106" ht="15.75" customHeight="1">
      <c r="A106" s="43"/>
      <c r="B106" s="41"/>
      <c r="C106" s="41"/>
      <c r="D106" s="41"/>
      <c r="E106" s="41"/>
      <c r="F106" s="41"/>
      <c r="G106" s="41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1"/>
      <c r="X106" s="41"/>
      <c r="Y106" s="41"/>
      <c r="Z106" s="41"/>
    </row>
    <row r="107" ht="15.75" customHeight="1">
      <c r="A107" s="43"/>
      <c r="B107" s="41"/>
      <c r="C107" s="41"/>
      <c r="D107" s="41"/>
      <c r="E107" s="41"/>
      <c r="F107" s="41"/>
      <c r="G107" s="41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1"/>
      <c r="X107" s="41"/>
      <c r="Y107" s="41"/>
      <c r="Z107" s="41"/>
    </row>
    <row r="108" ht="15.75" customHeight="1">
      <c r="A108" s="43"/>
      <c r="B108" s="41"/>
      <c r="C108" s="41"/>
      <c r="D108" s="41"/>
      <c r="E108" s="41"/>
      <c r="F108" s="41"/>
      <c r="G108" s="41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1"/>
      <c r="X108" s="41"/>
      <c r="Y108" s="41"/>
      <c r="Z108" s="41"/>
    </row>
    <row r="109" ht="15.75" customHeight="1">
      <c r="A109" s="43"/>
      <c r="B109" s="41"/>
      <c r="C109" s="41"/>
      <c r="D109" s="41"/>
      <c r="E109" s="41"/>
      <c r="F109" s="41"/>
      <c r="G109" s="41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1"/>
      <c r="X109" s="41"/>
      <c r="Y109" s="41"/>
      <c r="Z109" s="41"/>
    </row>
    <row r="110" ht="15.75" customHeight="1">
      <c r="A110" s="43"/>
      <c r="B110" s="41"/>
      <c r="C110" s="41"/>
      <c r="D110" s="41"/>
      <c r="E110" s="41"/>
      <c r="F110" s="41"/>
      <c r="G110" s="41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1"/>
      <c r="X110" s="41"/>
      <c r="Y110" s="41"/>
      <c r="Z110" s="41"/>
    </row>
    <row r="111" ht="15.75" customHeight="1">
      <c r="A111" s="43"/>
      <c r="B111" s="41"/>
      <c r="C111" s="41"/>
      <c r="D111" s="41"/>
      <c r="E111" s="41"/>
      <c r="F111" s="41"/>
      <c r="G111" s="41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1"/>
      <c r="X111" s="41"/>
      <c r="Y111" s="41"/>
      <c r="Z111" s="41"/>
    </row>
    <row r="112" ht="15.75" customHeight="1">
      <c r="A112" s="43"/>
      <c r="B112" s="41"/>
      <c r="C112" s="41"/>
      <c r="D112" s="41"/>
      <c r="E112" s="41"/>
      <c r="F112" s="41"/>
      <c r="G112" s="41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1"/>
      <c r="X112" s="41"/>
      <c r="Y112" s="41"/>
      <c r="Z112" s="41"/>
    </row>
    <row r="113" ht="15.75" customHeight="1">
      <c r="A113" s="43"/>
      <c r="B113" s="41"/>
      <c r="C113" s="41"/>
      <c r="D113" s="41"/>
      <c r="E113" s="41"/>
      <c r="F113" s="41"/>
      <c r="G113" s="41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1"/>
      <c r="X113" s="41"/>
      <c r="Y113" s="41"/>
      <c r="Z113" s="41"/>
    </row>
    <row r="114" ht="15.75" customHeight="1">
      <c r="A114" s="43"/>
      <c r="B114" s="41"/>
      <c r="C114" s="41"/>
      <c r="D114" s="41"/>
      <c r="E114" s="41"/>
      <c r="F114" s="41"/>
      <c r="G114" s="41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1"/>
      <c r="X114" s="41"/>
      <c r="Y114" s="41"/>
      <c r="Z114" s="41"/>
    </row>
    <row r="115" ht="15.75" customHeight="1">
      <c r="A115" s="43"/>
      <c r="B115" s="41"/>
      <c r="C115" s="41"/>
      <c r="D115" s="41"/>
      <c r="E115" s="41"/>
      <c r="F115" s="41"/>
      <c r="G115" s="41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1"/>
      <c r="X115" s="41"/>
      <c r="Y115" s="41"/>
      <c r="Z115" s="41"/>
    </row>
    <row r="116" ht="15.75" customHeight="1">
      <c r="A116" s="43"/>
      <c r="B116" s="41"/>
      <c r="C116" s="41"/>
      <c r="D116" s="41"/>
      <c r="E116" s="41"/>
      <c r="F116" s="41"/>
      <c r="G116" s="41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1"/>
      <c r="X116" s="41"/>
      <c r="Y116" s="41"/>
      <c r="Z116" s="41"/>
    </row>
    <row r="117" ht="15.75" customHeight="1">
      <c r="A117" s="43"/>
      <c r="B117" s="41"/>
      <c r="C117" s="41"/>
      <c r="D117" s="41"/>
      <c r="E117" s="41"/>
      <c r="F117" s="41"/>
      <c r="G117" s="41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1"/>
      <c r="X117" s="41"/>
      <c r="Y117" s="41"/>
      <c r="Z117" s="41"/>
    </row>
    <row r="118" ht="15.75" customHeight="1">
      <c r="A118" s="43"/>
      <c r="B118" s="41"/>
      <c r="C118" s="41"/>
      <c r="D118" s="41"/>
      <c r="E118" s="41"/>
      <c r="F118" s="41"/>
      <c r="G118" s="41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1"/>
      <c r="X118" s="41"/>
      <c r="Y118" s="41"/>
      <c r="Z118" s="41"/>
    </row>
    <row r="119" ht="15.75" customHeight="1">
      <c r="A119" s="43"/>
      <c r="B119" s="41"/>
      <c r="C119" s="41"/>
      <c r="D119" s="41"/>
      <c r="E119" s="41"/>
      <c r="F119" s="41"/>
      <c r="G119" s="41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1"/>
      <c r="X119" s="41"/>
      <c r="Y119" s="41"/>
      <c r="Z119" s="41"/>
    </row>
    <row r="120" ht="15.75" customHeight="1">
      <c r="A120" s="43"/>
      <c r="B120" s="41"/>
      <c r="C120" s="41"/>
      <c r="D120" s="41"/>
      <c r="E120" s="41"/>
      <c r="F120" s="41"/>
      <c r="G120" s="41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1"/>
      <c r="X120" s="41"/>
      <c r="Y120" s="41"/>
      <c r="Z120" s="41"/>
    </row>
    <row r="121" ht="15.75" customHeight="1">
      <c r="A121" s="43"/>
      <c r="B121" s="41"/>
      <c r="C121" s="41"/>
      <c r="D121" s="41"/>
      <c r="E121" s="41"/>
      <c r="F121" s="41"/>
      <c r="G121" s="41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1"/>
      <c r="X121" s="41"/>
      <c r="Y121" s="41"/>
      <c r="Z121" s="41"/>
    </row>
    <row r="122" ht="15.75" customHeight="1">
      <c r="A122" s="43"/>
      <c r="B122" s="41"/>
      <c r="C122" s="41"/>
      <c r="D122" s="41"/>
      <c r="E122" s="41"/>
      <c r="F122" s="41"/>
      <c r="G122" s="41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1"/>
      <c r="X122" s="41"/>
      <c r="Y122" s="41"/>
      <c r="Z122" s="41"/>
    </row>
    <row r="123" ht="15.75" customHeight="1">
      <c r="A123" s="43"/>
      <c r="B123" s="41"/>
      <c r="C123" s="41"/>
      <c r="D123" s="41"/>
      <c r="E123" s="41"/>
      <c r="F123" s="41"/>
      <c r="G123" s="41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1"/>
      <c r="X123" s="41"/>
      <c r="Y123" s="41"/>
      <c r="Z123" s="41"/>
    </row>
    <row r="124" ht="15.75" customHeight="1">
      <c r="A124" s="43"/>
      <c r="B124" s="41"/>
      <c r="C124" s="41"/>
      <c r="D124" s="41"/>
      <c r="E124" s="41"/>
      <c r="F124" s="41"/>
      <c r="G124" s="41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1"/>
      <c r="X124" s="41"/>
      <c r="Y124" s="41"/>
      <c r="Z124" s="41"/>
    </row>
    <row r="125" ht="15.75" customHeight="1">
      <c r="A125" s="43"/>
      <c r="B125" s="41"/>
      <c r="C125" s="41"/>
      <c r="D125" s="41"/>
      <c r="E125" s="41"/>
      <c r="F125" s="41"/>
      <c r="G125" s="41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1"/>
      <c r="X125" s="41"/>
      <c r="Y125" s="41"/>
      <c r="Z125" s="41"/>
    </row>
    <row r="126" ht="15.75" customHeight="1">
      <c r="A126" s="43"/>
      <c r="B126" s="41"/>
      <c r="C126" s="41"/>
      <c r="D126" s="41"/>
      <c r="E126" s="41"/>
      <c r="F126" s="41"/>
      <c r="G126" s="41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1"/>
      <c r="X126" s="41"/>
      <c r="Y126" s="41"/>
      <c r="Z126" s="41"/>
    </row>
    <row r="127" ht="15.75" customHeight="1">
      <c r="A127" s="43"/>
      <c r="B127" s="41"/>
      <c r="C127" s="41"/>
      <c r="D127" s="41"/>
      <c r="E127" s="41"/>
      <c r="F127" s="41"/>
      <c r="G127" s="41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1"/>
      <c r="X127" s="41"/>
      <c r="Y127" s="41"/>
      <c r="Z127" s="41"/>
    </row>
    <row r="128" ht="15.75" customHeight="1">
      <c r="A128" s="43"/>
      <c r="B128" s="41"/>
      <c r="C128" s="41"/>
      <c r="D128" s="41"/>
      <c r="E128" s="41"/>
      <c r="F128" s="41"/>
      <c r="G128" s="41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1"/>
      <c r="X128" s="41"/>
      <c r="Y128" s="41"/>
      <c r="Z128" s="41"/>
    </row>
    <row r="129" ht="15.75" customHeight="1">
      <c r="A129" s="43"/>
      <c r="B129" s="41"/>
      <c r="C129" s="41"/>
      <c r="D129" s="41"/>
      <c r="E129" s="41"/>
      <c r="F129" s="41"/>
      <c r="G129" s="41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1"/>
      <c r="X129" s="41"/>
      <c r="Y129" s="41"/>
      <c r="Z129" s="41"/>
    </row>
    <row r="130" ht="15.75" customHeight="1">
      <c r="A130" s="43"/>
      <c r="B130" s="41"/>
      <c r="C130" s="41"/>
      <c r="D130" s="41"/>
      <c r="E130" s="41"/>
      <c r="F130" s="41"/>
      <c r="G130" s="41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1"/>
      <c r="X130" s="41"/>
      <c r="Y130" s="41"/>
      <c r="Z130" s="41"/>
    </row>
    <row r="131" ht="15.75" customHeight="1">
      <c r="A131" s="43"/>
      <c r="B131" s="41"/>
      <c r="C131" s="41"/>
      <c r="D131" s="41"/>
      <c r="E131" s="41"/>
      <c r="F131" s="41"/>
      <c r="G131" s="41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1"/>
      <c r="X131" s="41"/>
      <c r="Y131" s="41"/>
      <c r="Z131" s="41"/>
    </row>
    <row r="132" ht="15.75" customHeight="1">
      <c r="A132" s="43"/>
      <c r="B132" s="41"/>
      <c r="C132" s="41"/>
      <c r="D132" s="41"/>
      <c r="E132" s="41"/>
      <c r="F132" s="41"/>
      <c r="G132" s="41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1"/>
      <c r="X132" s="41"/>
      <c r="Y132" s="41"/>
      <c r="Z132" s="41"/>
    </row>
    <row r="133" ht="15.75" customHeight="1">
      <c r="A133" s="43"/>
      <c r="B133" s="41"/>
      <c r="C133" s="41"/>
      <c r="D133" s="41"/>
      <c r="E133" s="41"/>
      <c r="F133" s="41"/>
      <c r="G133" s="41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1"/>
      <c r="X133" s="41"/>
      <c r="Y133" s="41"/>
      <c r="Z133" s="41"/>
    </row>
    <row r="134" ht="15.75" customHeight="1">
      <c r="A134" s="43"/>
      <c r="B134" s="41"/>
      <c r="C134" s="41"/>
      <c r="D134" s="41"/>
      <c r="E134" s="41"/>
      <c r="F134" s="41"/>
      <c r="G134" s="41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1"/>
      <c r="X134" s="41"/>
      <c r="Y134" s="41"/>
      <c r="Z134" s="41"/>
    </row>
    <row r="135" ht="15.75" customHeight="1">
      <c r="A135" s="43"/>
      <c r="B135" s="41"/>
      <c r="C135" s="41"/>
      <c r="D135" s="41"/>
      <c r="E135" s="41"/>
      <c r="F135" s="41"/>
      <c r="G135" s="41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1"/>
      <c r="X135" s="41"/>
      <c r="Y135" s="41"/>
      <c r="Z135" s="41"/>
    </row>
    <row r="136" ht="15.75" customHeight="1">
      <c r="A136" s="43"/>
      <c r="B136" s="41"/>
      <c r="C136" s="41"/>
      <c r="D136" s="41"/>
      <c r="E136" s="41"/>
      <c r="F136" s="41"/>
      <c r="G136" s="41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1"/>
      <c r="X136" s="41"/>
      <c r="Y136" s="41"/>
      <c r="Z136" s="41"/>
    </row>
    <row r="137" ht="15.75" customHeight="1">
      <c r="A137" s="43"/>
      <c r="B137" s="41"/>
      <c r="C137" s="41"/>
      <c r="D137" s="41"/>
      <c r="E137" s="41"/>
      <c r="F137" s="41"/>
      <c r="G137" s="41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1"/>
      <c r="X137" s="41"/>
      <c r="Y137" s="41"/>
      <c r="Z137" s="41"/>
    </row>
    <row r="138" ht="15.75" customHeight="1">
      <c r="A138" s="43"/>
      <c r="B138" s="41"/>
      <c r="C138" s="41"/>
      <c r="D138" s="41"/>
      <c r="E138" s="41"/>
      <c r="F138" s="41"/>
      <c r="G138" s="41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1"/>
      <c r="X138" s="41"/>
      <c r="Y138" s="41"/>
      <c r="Z138" s="41"/>
    </row>
    <row r="139" ht="15.75" customHeight="1">
      <c r="A139" s="43"/>
      <c r="B139" s="41"/>
      <c r="C139" s="41"/>
      <c r="D139" s="41"/>
      <c r="E139" s="41"/>
      <c r="F139" s="41"/>
      <c r="G139" s="41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1"/>
      <c r="X139" s="41"/>
      <c r="Y139" s="41"/>
      <c r="Z139" s="41"/>
    </row>
    <row r="140" ht="15.75" customHeight="1">
      <c r="A140" s="43"/>
      <c r="B140" s="41"/>
      <c r="C140" s="41"/>
      <c r="D140" s="41"/>
      <c r="E140" s="41"/>
      <c r="F140" s="41"/>
      <c r="G140" s="41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1"/>
      <c r="X140" s="41"/>
      <c r="Y140" s="41"/>
      <c r="Z140" s="41"/>
    </row>
    <row r="141" ht="15.75" customHeight="1">
      <c r="A141" s="43"/>
      <c r="B141" s="41"/>
      <c r="C141" s="41"/>
      <c r="D141" s="41"/>
      <c r="E141" s="41"/>
      <c r="F141" s="41"/>
      <c r="G141" s="41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1"/>
      <c r="X141" s="41"/>
      <c r="Y141" s="41"/>
      <c r="Z141" s="41"/>
    </row>
    <row r="142" ht="15.75" customHeight="1">
      <c r="A142" s="43"/>
      <c r="B142" s="41"/>
      <c r="C142" s="41"/>
      <c r="D142" s="41"/>
      <c r="E142" s="41"/>
      <c r="F142" s="41"/>
      <c r="G142" s="41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1"/>
      <c r="X142" s="41"/>
      <c r="Y142" s="41"/>
      <c r="Z142" s="41"/>
    </row>
    <row r="143" ht="15.75" customHeight="1">
      <c r="A143" s="43"/>
      <c r="B143" s="41"/>
      <c r="C143" s="41"/>
      <c r="D143" s="41"/>
      <c r="E143" s="41"/>
      <c r="F143" s="41"/>
      <c r="G143" s="41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1"/>
      <c r="X143" s="41"/>
      <c r="Y143" s="41"/>
      <c r="Z143" s="41"/>
    </row>
    <row r="144" ht="15.75" customHeight="1">
      <c r="A144" s="43"/>
      <c r="B144" s="41"/>
      <c r="C144" s="41"/>
      <c r="D144" s="41"/>
      <c r="E144" s="41"/>
      <c r="F144" s="41"/>
      <c r="G144" s="41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1"/>
      <c r="X144" s="41"/>
      <c r="Y144" s="41"/>
      <c r="Z144" s="41"/>
    </row>
    <row r="145" ht="15.75" customHeight="1">
      <c r="A145" s="43"/>
      <c r="B145" s="41"/>
      <c r="C145" s="41"/>
      <c r="D145" s="41"/>
      <c r="E145" s="41"/>
      <c r="F145" s="41"/>
      <c r="G145" s="41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1"/>
      <c r="X145" s="41"/>
      <c r="Y145" s="41"/>
      <c r="Z145" s="41"/>
    </row>
    <row r="146" ht="15.75" customHeight="1">
      <c r="A146" s="43"/>
      <c r="B146" s="41"/>
      <c r="C146" s="41"/>
      <c r="D146" s="41"/>
      <c r="E146" s="41"/>
      <c r="F146" s="41"/>
      <c r="G146" s="41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1"/>
      <c r="X146" s="41"/>
      <c r="Y146" s="41"/>
      <c r="Z146" s="41"/>
    </row>
    <row r="147" ht="15.75" customHeight="1">
      <c r="A147" s="43"/>
      <c r="B147" s="41"/>
      <c r="C147" s="41"/>
      <c r="D147" s="41"/>
      <c r="E147" s="41"/>
      <c r="F147" s="41"/>
      <c r="G147" s="41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1"/>
      <c r="X147" s="41"/>
      <c r="Y147" s="41"/>
      <c r="Z147" s="41"/>
    </row>
    <row r="148" ht="15.75" customHeight="1">
      <c r="A148" s="43"/>
      <c r="B148" s="41"/>
      <c r="C148" s="41"/>
      <c r="D148" s="41"/>
      <c r="E148" s="41"/>
      <c r="F148" s="41"/>
      <c r="G148" s="41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1"/>
      <c r="X148" s="41"/>
      <c r="Y148" s="41"/>
      <c r="Z148" s="41"/>
    </row>
    <row r="149" ht="15.75" customHeight="1">
      <c r="A149" s="43"/>
      <c r="B149" s="41"/>
      <c r="C149" s="41"/>
      <c r="D149" s="41"/>
      <c r="E149" s="41"/>
      <c r="F149" s="41"/>
      <c r="G149" s="41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1"/>
      <c r="X149" s="41"/>
      <c r="Y149" s="41"/>
      <c r="Z149" s="41"/>
    </row>
    <row r="150" ht="15.75" customHeight="1">
      <c r="A150" s="43"/>
      <c r="B150" s="41"/>
      <c r="C150" s="41"/>
      <c r="D150" s="41"/>
      <c r="E150" s="41"/>
      <c r="F150" s="41"/>
      <c r="G150" s="41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1"/>
      <c r="X150" s="41"/>
      <c r="Y150" s="41"/>
      <c r="Z150" s="41"/>
    </row>
    <row r="151" ht="15.75" customHeight="1">
      <c r="A151" s="43"/>
      <c r="B151" s="41"/>
      <c r="C151" s="41"/>
      <c r="D151" s="41"/>
      <c r="E151" s="41"/>
      <c r="F151" s="41"/>
      <c r="G151" s="41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1"/>
      <c r="X151" s="41"/>
      <c r="Y151" s="41"/>
      <c r="Z151" s="41"/>
    </row>
    <row r="152" ht="15.75" customHeight="1">
      <c r="A152" s="43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1"/>
      <c r="X152" s="41"/>
      <c r="Y152" s="41"/>
      <c r="Z152" s="41"/>
    </row>
    <row r="153" ht="15.75" customHeight="1">
      <c r="A153" s="43"/>
      <c r="B153" s="41"/>
      <c r="C153" s="41"/>
      <c r="D153" s="41"/>
      <c r="E153" s="41"/>
      <c r="F153" s="41"/>
      <c r="G153" s="41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1"/>
      <c r="X153" s="41"/>
      <c r="Y153" s="41"/>
      <c r="Z153" s="41"/>
    </row>
    <row r="154" ht="15.75" customHeight="1">
      <c r="A154" s="43"/>
      <c r="B154" s="41"/>
      <c r="C154" s="41"/>
      <c r="D154" s="41"/>
      <c r="E154" s="41"/>
      <c r="F154" s="41"/>
      <c r="G154" s="41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1"/>
      <c r="X154" s="41"/>
      <c r="Y154" s="41"/>
      <c r="Z154" s="41"/>
    </row>
    <row r="155" ht="15.75" customHeight="1">
      <c r="A155" s="43"/>
      <c r="B155" s="41"/>
      <c r="C155" s="41"/>
      <c r="D155" s="41"/>
      <c r="E155" s="41"/>
      <c r="F155" s="41"/>
      <c r="G155" s="41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1"/>
      <c r="X155" s="41"/>
      <c r="Y155" s="41"/>
      <c r="Z155" s="41"/>
    </row>
    <row r="156" ht="15.75" customHeight="1">
      <c r="A156" s="43"/>
      <c r="B156" s="41"/>
      <c r="C156" s="41"/>
      <c r="D156" s="41"/>
      <c r="E156" s="41"/>
      <c r="F156" s="41"/>
      <c r="G156" s="41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1"/>
      <c r="X156" s="41"/>
      <c r="Y156" s="41"/>
      <c r="Z156" s="41"/>
    </row>
    <row r="157" ht="15.75" customHeight="1">
      <c r="A157" s="43"/>
      <c r="B157" s="41"/>
      <c r="C157" s="41"/>
      <c r="D157" s="41"/>
      <c r="E157" s="41"/>
      <c r="F157" s="41"/>
      <c r="G157" s="41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1"/>
      <c r="X157" s="41"/>
      <c r="Y157" s="41"/>
      <c r="Z157" s="41"/>
    </row>
    <row r="158" ht="15.75" customHeight="1">
      <c r="A158" s="43"/>
      <c r="B158" s="41"/>
      <c r="C158" s="41"/>
      <c r="D158" s="41"/>
      <c r="E158" s="41"/>
      <c r="F158" s="41"/>
      <c r="G158" s="41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1"/>
      <c r="X158" s="41"/>
      <c r="Y158" s="41"/>
      <c r="Z158" s="41"/>
    </row>
    <row r="159" ht="15.75" customHeight="1">
      <c r="A159" s="43"/>
      <c r="B159" s="41"/>
      <c r="C159" s="41"/>
      <c r="D159" s="41"/>
      <c r="E159" s="41"/>
      <c r="F159" s="41"/>
      <c r="G159" s="41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1"/>
      <c r="X159" s="41"/>
      <c r="Y159" s="41"/>
      <c r="Z159" s="41"/>
    </row>
    <row r="160" ht="15.75" customHeight="1">
      <c r="A160" s="43"/>
      <c r="B160" s="41"/>
      <c r="C160" s="41"/>
      <c r="D160" s="41"/>
      <c r="E160" s="41"/>
      <c r="F160" s="41"/>
      <c r="G160" s="41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1"/>
      <c r="X160" s="41"/>
      <c r="Y160" s="41"/>
      <c r="Z160" s="41"/>
    </row>
    <row r="161" ht="15.75" customHeight="1">
      <c r="A161" s="43"/>
      <c r="B161" s="41"/>
      <c r="C161" s="41"/>
      <c r="D161" s="41"/>
      <c r="E161" s="41"/>
      <c r="F161" s="41"/>
      <c r="G161" s="41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1"/>
      <c r="X161" s="41"/>
      <c r="Y161" s="41"/>
      <c r="Z161" s="41"/>
    </row>
    <row r="162" ht="15.75" customHeight="1">
      <c r="A162" s="43"/>
      <c r="B162" s="41"/>
      <c r="C162" s="41"/>
      <c r="D162" s="41"/>
      <c r="E162" s="41"/>
      <c r="F162" s="41"/>
      <c r="G162" s="41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1"/>
      <c r="X162" s="41"/>
      <c r="Y162" s="41"/>
      <c r="Z162" s="41"/>
    </row>
    <row r="163" ht="15.75" customHeight="1">
      <c r="A163" s="43"/>
      <c r="B163" s="41"/>
      <c r="C163" s="41"/>
      <c r="D163" s="41"/>
      <c r="E163" s="41"/>
      <c r="F163" s="41"/>
      <c r="G163" s="41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1"/>
      <c r="X163" s="41"/>
      <c r="Y163" s="41"/>
      <c r="Z163" s="41"/>
    </row>
    <row r="164" ht="15.75" customHeight="1">
      <c r="A164" s="43"/>
      <c r="B164" s="41"/>
      <c r="C164" s="41"/>
      <c r="D164" s="41"/>
      <c r="E164" s="41"/>
      <c r="F164" s="41"/>
      <c r="G164" s="41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1"/>
      <c r="X164" s="41"/>
      <c r="Y164" s="41"/>
      <c r="Z164" s="41"/>
    </row>
    <row r="165" ht="15.75" customHeight="1">
      <c r="A165" s="43"/>
      <c r="B165" s="41"/>
      <c r="C165" s="41"/>
      <c r="D165" s="41"/>
      <c r="E165" s="41"/>
      <c r="F165" s="41"/>
      <c r="G165" s="41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1"/>
      <c r="X165" s="41"/>
      <c r="Y165" s="41"/>
      <c r="Z165" s="41"/>
    </row>
    <row r="166" ht="15.75" customHeight="1">
      <c r="A166" s="43"/>
      <c r="B166" s="41"/>
      <c r="C166" s="41"/>
      <c r="D166" s="41"/>
      <c r="E166" s="41"/>
      <c r="F166" s="41"/>
      <c r="G166" s="41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1"/>
      <c r="X166" s="41"/>
      <c r="Y166" s="41"/>
      <c r="Z166" s="41"/>
    </row>
    <row r="167" ht="15.75" customHeight="1">
      <c r="A167" s="43"/>
      <c r="B167" s="41"/>
      <c r="C167" s="41"/>
      <c r="D167" s="41"/>
      <c r="E167" s="41"/>
      <c r="F167" s="41"/>
      <c r="G167" s="41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1"/>
      <c r="X167" s="41"/>
      <c r="Y167" s="41"/>
      <c r="Z167" s="41"/>
    </row>
    <row r="168" ht="15.75" customHeight="1">
      <c r="A168" s="43"/>
      <c r="B168" s="41"/>
      <c r="C168" s="41"/>
      <c r="D168" s="41"/>
      <c r="E168" s="41"/>
      <c r="F168" s="41"/>
      <c r="G168" s="41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1"/>
      <c r="X168" s="41"/>
      <c r="Y168" s="41"/>
      <c r="Z168" s="41"/>
    </row>
    <row r="169" ht="15.75" customHeight="1">
      <c r="A169" s="43"/>
      <c r="B169" s="41"/>
      <c r="C169" s="41"/>
      <c r="D169" s="41"/>
      <c r="E169" s="41"/>
      <c r="F169" s="41"/>
      <c r="G169" s="41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1"/>
      <c r="X169" s="41"/>
      <c r="Y169" s="41"/>
      <c r="Z169" s="41"/>
    </row>
    <row r="170" ht="15.75" customHeight="1">
      <c r="A170" s="43"/>
      <c r="B170" s="41"/>
      <c r="C170" s="41"/>
      <c r="D170" s="41"/>
      <c r="E170" s="41"/>
      <c r="F170" s="41"/>
      <c r="G170" s="41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1"/>
      <c r="X170" s="41"/>
      <c r="Y170" s="41"/>
      <c r="Z170" s="41"/>
    </row>
    <row r="171" ht="15.75" customHeight="1">
      <c r="A171" s="43"/>
      <c r="B171" s="41"/>
      <c r="C171" s="41"/>
      <c r="D171" s="41"/>
      <c r="E171" s="41"/>
      <c r="F171" s="41"/>
      <c r="G171" s="41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1"/>
      <c r="X171" s="41"/>
      <c r="Y171" s="41"/>
      <c r="Z171" s="41"/>
    </row>
    <row r="172" ht="15.75" customHeight="1">
      <c r="A172" s="43"/>
      <c r="B172" s="41"/>
      <c r="C172" s="41"/>
      <c r="D172" s="41"/>
      <c r="E172" s="41"/>
      <c r="F172" s="41"/>
      <c r="G172" s="41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1"/>
      <c r="X172" s="41"/>
      <c r="Y172" s="41"/>
      <c r="Z172" s="41"/>
    </row>
    <row r="173" ht="15.75" customHeight="1">
      <c r="A173" s="43"/>
      <c r="B173" s="41"/>
      <c r="C173" s="41"/>
      <c r="D173" s="41"/>
      <c r="E173" s="41"/>
      <c r="F173" s="41"/>
      <c r="G173" s="41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1"/>
      <c r="X173" s="41"/>
      <c r="Y173" s="41"/>
      <c r="Z173" s="41"/>
    </row>
    <row r="174" ht="15.75" customHeight="1">
      <c r="A174" s="43"/>
      <c r="B174" s="41"/>
      <c r="C174" s="41"/>
      <c r="D174" s="41"/>
      <c r="E174" s="41"/>
      <c r="F174" s="41"/>
      <c r="G174" s="41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1"/>
      <c r="X174" s="41"/>
      <c r="Y174" s="41"/>
      <c r="Z174" s="41"/>
    </row>
    <row r="175" ht="15.75" customHeight="1">
      <c r="A175" s="43"/>
      <c r="B175" s="41"/>
      <c r="C175" s="41"/>
      <c r="D175" s="41"/>
      <c r="E175" s="41"/>
      <c r="F175" s="41"/>
      <c r="G175" s="41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1"/>
      <c r="X175" s="41"/>
      <c r="Y175" s="41"/>
      <c r="Z175" s="41"/>
    </row>
    <row r="176" ht="15.75" customHeight="1">
      <c r="A176" s="43"/>
      <c r="B176" s="41"/>
      <c r="C176" s="41"/>
      <c r="D176" s="41"/>
      <c r="E176" s="41"/>
      <c r="F176" s="41"/>
      <c r="G176" s="41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1"/>
      <c r="X176" s="41"/>
      <c r="Y176" s="41"/>
      <c r="Z176" s="41"/>
    </row>
    <row r="177" ht="15.75" customHeight="1">
      <c r="A177" s="43"/>
      <c r="B177" s="41"/>
      <c r="C177" s="41"/>
      <c r="D177" s="41"/>
      <c r="E177" s="41"/>
      <c r="F177" s="41"/>
      <c r="G177" s="41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1"/>
      <c r="X177" s="41"/>
      <c r="Y177" s="41"/>
      <c r="Z177" s="41"/>
    </row>
    <row r="178" ht="15.75" customHeight="1">
      <c r="A178" s="43"/>
      <c r="B178" s="41"/>
      <c r="C178" s="41"/>
      <c r="D178" s="41"/>
      <c r="E178" s="41"/>
      <c r="F178" s="41"/>
      <c r="G178" s="41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1"/>
      <c r="X178" s="41"/>
      <c r="Y178" s="41"/>
      <c r="Z178" s="41"/>
    </row>
    <row r="179" ht="15.75" customHeight="1">
      <c r="A179" s="43"/>
      <c r="B179" s="41"/>
      <c r="C179" s="41"/>
      <c r="D179" s="41"/>
      <c r="E179" s="41"/>
      <c r="F179" s="41"/>
      <c r="G179" s="41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1"/>
      <c r="X179" s="41"/>
      <c r="Y179" s="41"/>
      <c r="Z179" s="41"/>
    </row>
    <row r="180" ht="15.75" customHeight="1">
      <c r="A180" s="43"/>
      <c r="B180" s="41"/>
      <c r="C180" s="41"/>
      <c r="D180" s="41"/>
      <c r="E180" s="41"/>
      <c r="F180" s="41"/>
      <c r="G180" s="41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1"/>
      <c r="X180" s="41"/>
      <c r="Y180" s="41"/>
      <c r="Z180" s="41"/>
    </row>
    <row r="181" ht="15.75" customHeight="1">
      <c r="A181" s="43"/>
      <c r="B181" s="41"/>
      <c r="C181" s="41"/>
      <c r="D181" s="41"/>
      <c r="E181" s="41"/>
      <c r="F181" s="41"/>
      <c r="G181" s="41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1"/>
      <c r="X181" s="41"/>
      <c r="Y181" s="41"/>
      <c r="Z181" s="41"/>
    </row>
    <row r="182" ht="15.75" customHeight="1">
      <c r="A182" s="43"/>
      <c r="B182" s="41"/>
      <c r="C182" s="41"/>
      <c r="D182" s="41"/>
      <c r="E182" s="41"/>
      <c r="F182" s="41"/>
      <c r="G182" s="41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1"/>
      <c r="X182" s="41"/>
      <c r="Y182" s="41"/>
      <c r="Z182" s="41"/>
    </row>
    <row r="183" ht="15.75" customHeight="1">
      <c r="A183" s="43"/>
      <c r="B183" s="41"/>
      <c r="C183" s="41"/>
      <c r="D183" s="41"/>
      <c r="E183" s="41"/>
      <c r="F183" s="41"/>
      <c r="G183" s="41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1"/>
      <c r="X183" s="41"/>
      <c r="Y183" s="41"/>
      <c r="Z183" s="41"/>
    </row>
    <row r="184" ht="15.75" customHeight="1">
      <c r="A184" s="43"/>
      <c r="B184" s="41"/>
      <c r="C184" s="41"/>
      <c r="D184" s="41"/>
      <c r="E184" s="41"/>
      <c r="F184" s="41"/>
      <c r="G184" s="41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1"/>
      <c r="X184" s="41"/>
      <c r="Y184" s="41"/>
      <c r="Z184" s="41"/>
    </row>
    <row r="185" ht="15.75" customHeight="1">
      <c r="A185" s="43"/>
      <c r="B185" s="41"/>
      <c r="C185" s="41"/>
      <c r="D185" s="41"/>
      <c r="E185" s="41"/>
      <c r="F185" s="41"/>
      <c r="G185" s="41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1"/>
      <c r="X185" s="41"/>
      <c r="Y185" s="41"/>
      <c r="Z185" s="41"/>
    </row>
    <row r="186" ht="15.75" customHeight="1">
      <c r="A186" s="43"/>
      <c r="B186" s="41"/>
      <c r="C186" s="41"/>
      <c r="D186" s="41"/>
      <c r="E186" s="41"/>
      <c r="F186" s="41"/>
      <c r="G186" s="41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1"/>
      <c r="X186" s="41"/>
      <c r="Y186" s="41"/>
      <c r="Z186" s="41"/>
    </row>
    <row r="187" ht="15.75" customHeight="1">
      <c r="A187" s="43"/>
      <c r="B187" s="41"/>
      <c r="C187" s="41"/>
      <c r="D187" s="41"/>
      <c r="E187" s="41"/>
      <c r="F187" s="41"/>
      <c r="G187" s="41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1"/>
      <c r="X187" s="41"/>
      <c r="Y187" s="41"/>
      <c r="Z187" s="41"/>
    </row>
    <row r="188" ht="15.75" customHeight="1">
      <c r="A188" s="43"/>
      <c r="B188" s="41"/>
      <c r="C188" s="41"/>
      <c r="D188" s="41"/>
      <c r="E188" s="41"/>
      <c r="F188" s="41"/>
      <c r="G188" s="41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1"/>
      <c r="X188" s="41"/>
      <c r="Y188" s="41"/>
      <c r="Z188" s="41"/>
    </row>
    <row r="189" ht="15.75" customHeight="1">
      <c r="A189" s="43"/>
      <c r="B189" s="41"/>
      <c r="C189" s="41"/>
      <c r="D189" s="41"/>
      <c r="E189" s="41"/>
      <c r="F189" s="41"/>
      <c r="G189" s="41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1"/>
      <c r="X189" s="41"/>
      <c r="Y189" s="41"/>
      <c r="Z189" s="41"/>
    </row>
    <row r="190" ht="15.75" customHeight="1">
      <c r="A190" s="43"/>
      <c r="B190" s="41"/>
      <c r="C190" s="41"/>
      <c r="D190" s="41"/>
      <c r="E190" s="41"/>
      <c r="F190" s="41"/>
      <c r="G190" s="41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1"/>
      <c r="X190" s="41"/>
      <c r="Y190" s="41"/>
      <c r="Z190" s="41"/>
    </row>
    <row r="191" ht="15.75" customHeight="1">
      <c r="A191" s="43"/>
      <c r="B191" s="41"/>
      <c r="C191" s="41"/>
      <c r="D191" s="41"/>
      <c r="E191" s="41"/>
      <c r="F191" s="41"/>
      <c r="G191" s="41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1"/>
      <c r="X191" s="41"/>
      <c r="Y191" s="41"/>
      <c r="Z191" s="41"/>
    </row>
    <row r="192" ht="15.75" customHeight="1">
      <c r="A192" s="43"/>
      <c r="B192" s="41"/>
      <c r="C192" s="41"/>
      <c r="D192" s="41"/>
      <c r="E192" s="41"/>
      <c r="F192" s="41"/>
      <c r="G192" s="41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1"/>
      <c r="X192" s="41"/>
      <c r="Y192" s="41"/>
      <c r="Z192" s="41"/>
    </row>
    <row r="193" ht="15.75" customHeight="1">
      <c r="A193" s="43"/>
      <c r="B193" s="41"/>
      <c r="C193" s="41"/>
      <c r="D193" s="41"/>
      <c r="E193" s="41"/>
      <c r="F193" s="41"/>
      <c r="G193" s="41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1"/>
      <c r="X193" s="41"/>
      <c r="Y193" s="41"/>
      <c r="Z193" s="41"/>
    </row>
    <row r="194" ht="15.75" customHeight="1">
      <c r="A194" s="43"/>
      <c r="B194" s="41"/>
      <c r="C194" s="41"/>
      <c r="D194" s="41"/>
      <c r="E194" s="41"/>
      <c r="F194" s="41"/>
      <c r="G194" s="41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1"/>
      <c r="X194" s="41"/>
      <c r="Y194" s="41"/>
      <c r="Z194" s="41"/>
    </row>
    <row r="195" ht="15.75" customHeight="1">
      <c r="A195" s="43"/>
      <c r="B195" s="41"/>
      <c r="C195" s="41"/>
      <c r="D195" s="41"/>
      <c r="E195" s="41"/>
      <c r="F195" s="41"/>
      <c r="G195" s="41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1"/>
      <c r="X195" s="41"/>
      <c r="Y195" s="41"/>
      <c r="Z195" s="41"/>
    </row>
    <row r="196" ht="15.75" customHeight="1">
      <c r="A196" s="43"/>
      <c r="B196" s="41"/>
      <c r="C196" s="41"/>
      <c r="D196" s="41"/>
      <c r="E196" s="41"/>
      <c r="F196" s="41"/>
      <c r="G196" s="41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1"/>
      <c r="X196" s="41"/>
      <c r="Y196" s="41"/>
      <c r="Z196" s="41"/>
    </row>
    <row r="197" ht="15.75" customHeight="1">
      <c r="A197" s="43"/>
      <c r="B197" s="41"/>
      <c r="C197" s="41"/>
      <c r="D197" s="41"/>
      <c r="E197" s="41"/>
      <c r="F197" s="41"/>
      <c r="G197" s="41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1"/>
      <c r="X197" s="41"/>
      <c r="Y197" s="41"/>
      <c r="Z197" s="41"/>
    </row>
    <row r="198" ht="15.75" customHeight="1">
      <c r="A198" s="43"/>
      <c r="B198" s="41"/>
      <c r="C198" s="41"/>
      <c r="D198" s="41"/>
      <c r="E198" s="41"/>
      <c r="F198" s="41"/>
      <c r="G198" s="41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1"/>
      <c r="X198" s="41"/>
      <c r="Y198" s="41"/>
      <c r="Z198" s="41"/>
    </row>
    <row r="199" ht="15.75" customHeight="1">
      <c r="A199" s="43"/>
      <c r="B199" s="41"/>
      <c r="C199" s="41"/>
      <c r="D199" s="41"/>
      <c r="E199" s="41"/>
      <c r="F199" s="41"/>
      <c r="G199" s="41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1"/>
      <c r="X199" s="41"/>
      <c r="Y199" s="41"/>
      <c r="Z199" s="41"/>
    </row>
    <row r="200" ht="15.75" customHeight="1">
      <c r="A200" s="43"/>
      <c r="B200" s="41"/>
      <c r="C200" s="41"/>
      <c r="D200" s="41"/>
      <c r="E200" s="41"/>
      <c r="F200" s="41"/>
      <c r="G200" s="41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1"/>
      <c r="X200" s="41"/>
      <c r="Y200" s="41"/>
      <c r="Z200" s="41"/>
    </row>
    <row r="201" ht="15.75" customHeight="1">
      <c r="A201" s="43"/>
      <c r="B201" s="41"/>
      <c r="C201" s="41"/>
      <c r="D201" s="41"/>
      <c r="E201" s="41"/>
      <c r="F201" s="41"/>
      <c r="G201" s="41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1"/>
      <c r="X201" s="41"/>
      <c r="Y201" s="41"/>
      <c r="Z201" s="41"/>
    </row>
    <row r="202" ht="15.75" customHeight="1">
      <c r="A202" s="43"/>
      <c r="B202" s="41"/>
      <c r="C202" s="41"/>
      <c r="D202" s="41"/>
      <c r="E202" s="41"/>
      <c r="F202" s="41"/>
      <c r="G202" s="41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1"/>
      <c r="X202" s="41"/>
      <c r="Y202" s="41"/>
      <c r="Z202" s="41"/>
    </row>
    <row r="203" ht="15.75" customHeight="1">
      <c r="A203" s="43"/>
      <c r="B203" s="41"/>
      <c r="C203" s="41"/>
      <c r="D203" s="41"/>
      <c r="E203" s="41"/>
      <c r="F203" s="41"/>
      <c r="G203" s="41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1"/>
      <c r="X203" s="41"/>
      <c r="Y203" s="41"/>
      <c r="Z203" s="41"/>
    </row>
    <row r="204" ht="15.75" customHeight="1">
      <c r="A204" s="43"/>
      <c r="B204" s="41"/>
      <c r="C204" s="41"/>
      <c r="D204" s="41"/>
      <c r="E204" s="41"/>
      <c r="F204" s="41"/>
      <c r="G204" s="41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1"/>
      <c r="X204" s="41"/>
      <c r="Y204" s="41"/>
      <c r="Z204" s="41"/>
    </row>
    <row r="205" ht="15.75" customHeight="1">
      <c r="A205" s="43"/>
      <c r="B205" s="41"/>
      <c r="C205" s="41"/>
      <c r="D205" s="41"/>
      <c r="E205" s="41"/>
      <c r="F205" s="41"/>
      <c r="G205" s="41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1"/>
      <c r="X205" s="41"/>
      <c r="Y205" s="41"/>
      <c r="Z205" s="41"/>
    </row>
    <row r="206" ht="15.75" customHeight="1">
      <c r="A206" s="43"/>
      <c r="B206" s="41"/>
      <c r="C206" s="41"/>
      <c r="D206" s="41"/>
      <c r="E206" s="41"/>
      <c r="F206" s="41"/>
      <c r="G206" s="41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1"/>
      <c r="X206" s="41"/>
      <c r="Y206" s="41"/>
      <c r="Z206" s="41"/>
    </row>
    <row r="207" ht="15.75" customHeight="1">
      <c r="A207" s="43"/>
      <c r="B207" s="41"/>
      <c r="C207" s="41"/>
      <c r="D207" s="41"/>
      <c r="E207" s="41"/>
      <c r="F207" s="41"/>
      <c r="G207" s="41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1"/>
      <c r="X207" s="41"/>
      <c r="Y207" s="41"/>
      <c r="Z207" s="41"/>
    </row>
    <row r="208" ht="15.75" customHeight="1">
      <c r="A208" s="43"/>
      <c r="B208" s="41"/>
      <c r="C208" s="41"/>
      <c r="D208" s="41"/>
      <c r="E208" s="41"/>
      <c r="F208" s="41"/>
      <c r="G208" s="41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1"/>
      <c r="X208" s="41"/>
      <c r="Y208" s="41"/>
      <c r="Z208" s="41"/>
    </row>
    <row r="209" ht="15.75" customHeight="1">
      <c r="A209" s="43"/>
      <c r="B209" s="41"/>
      <c r="C209" s="41"/>
      <c r="D209" s="41"/>
      <c r="E209" s="41"/>
      <c r="F209" s="41"/>
      <c r="G209" s="41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1"/>
      <c r="X209" s="41"/>
      <c r="Y209" s="41"/>
      <c r="Z209" s="41"/>
    </row>
    <row r="210" ht="15.75" customHeight="1">
      <c r="A210" s="43"/>
      <c r="B210" s="41"/>
      <c r="C210" s="41"/>
      <c r="D210" s="41"/>
      <c r="E210" s="41"/>
      <c r="F210" s="41"/>
      <c r="G210" s="41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1"/>
      <c r="X210" s="41"/>
      <c r="Y210" s="41"/>
      <c r="Z210" s="41"/>
    </row>
    <row r="211" ht="15.75" customHeight="1">
      <c r="A211" s="43"/>
      <c r="B211" s="41"/>
      <c r="C211" s="41"/>
      <c r="D211" s="41"/>
      <c r="E211" s="41"/>
      <c r="F211" s="41"/>
      <c r="G211" s="41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1"/>
      <c r="X211" s="41"/>
      <c r="Y211" s="41"/>
      <c r="Z211" s="41"/>
    </row>
    <row r="212" ht="15.75" customHeight="1">
      <c r="A212" s="43"/>
      <c r="B212" s="41"/>
      <c r="C212" s="41"/>
      <c r="D212" s="41"/>
      <c r="E212" s="41"/>
      <c r="F212" s="41"/>
      <c r="G212" s="41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1"/>
      <c r="X212" s="41"/>
      <c r="Y212" s="41"/>
      <c r="Z212" s="41"/>
    </row>
    <row r="213" ht="15.75" customHeight="1">
      <c r="A213" s="43"/>
      <c r="B213" s="41"/>
      <c r="C213" s="41"/>
      <c r="D213" s="41"/>
      <c r="E213" s="41"/>
      <c r="F213" s="41"/>
      <c r="G213" s="41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1"/>
      <c r="X213" s="41"/>
      <c r="Y213" s="41"/>
      <c r="Z213" s="41"/>
    </row>
    <row r="214" ht="15.75" customHeight="1">
      <c r="A214" s="43"/>
      <c r="B214" s="41"/>
      <c r="C214" s="41"/>
      <c r="D214" s="41"/>
      <c r="E214" s="41"/>
      <c r="F214" s="41"/>
      <c r="G214" s="41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1"/>
      <c r="X214" s="41"/>
      <c r="Y214" s="41"/>
      <c r="Z214" s="41"/>
    </row>
    <row r="215" ht="15.75" customHeight="1">
      <c r="A215" s="43"/>
      <c r="B215" s="41"/>
      <c r="C215" s="41"/>
      <c r="D215" s="41"/>
      <c r="E215" s="41"/>
      <c r="F215" s="41"/>
      <c r="G215" s="41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1"/>
      <c r="X215" s="41"/>
      <c r="Y215" s="41"/>
      <c r="Z215" s="41"/>
    </row>
    <row r="216" ht="15.75" customHeight="1">
      <c r="A216" s="43"/>
      <c r="B216" s="41"/>
      <c r="C216" s="41"/>
      <c r="D216" s="41"/>
      <c r="E216" s="41"/>
      <c r="F216" s="41"/>
      <c r="G216" s="41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1"/>
      <c r="X216" s="41"/>
      <c r="Y216" s="41"/>
      <c r="Z216" s="41"/>
    </row>
    <row r="217" ht="15.75" customHeight="1">
      <c r="A217" s="43"/>
      <c r="B217" s="41"/>
      <c r="C217" s="41"/>
      <c r="D217" s="41"/>
      <c r="E217" s="41"/>
      <c r="F217" s="41"/>
      <c r="G217" s="41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1"/>
      <c r="X217" s="41"/>
      <c r="Y217" s="41"/>
      <c r="Z217" s="41"/>
    </row>
    <row r="218" ht="15.75" customHeight="1">
      <c r="A218" s="43"/>
      <c r="B218" s="41"/>
      <c r="C218" s="41"/>
      <c r="D218" s="41"/>
      <c r="E218" s="41"/>
      <c r="F218" s="41"/>
      <c r="G218" s="41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1"/>
      <c r="X218" s="41"/>
      <c r="Y218" s="41"/>
      <c r="Z218" s="41"/>
    </row>
    <row r="219" ht="15.75" customHeight="1">
      <c r="A219" s="43"/>
      <c r="B219" s="41"/>
      <c r="C219" s="41"/>
      <c r="D219" s="41"/>
      <c r="E219" s="41"/>
      <c r="F219" s="41"/>
      <c r="G219" s="41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1"/>
      <c r="X219" s="41"/>
      <c r="Y219" s="41"/>
      <c r="Z219" s="41"/>
    </row>
    <row r="220" ht="15.75" customHeight="1">
      <c r="A220" s="43"/>
      <c r="B220" s="41"/>
      <c r="C220" s="41"/>
      <c r="D220" s="41"/>
      <c r="E220" s="41"/>
      <c r="F220" s="41"/>
      <c r="G220" s="41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1"/>
      <c r="X220" s="41"/>
      <c r="Y220" s="41"/>
      <c r="Z220" s="41"/>
    </row>
    <row r="221" ht="15.75" customHeight="1">
      <c r="A221" s="43"/>
      <c r="B221" s="41"/>
      <c r="C221" s="41"/>
      <c r="D221" s="41"/>
      <c r="E221" s="41"/>
      <c r="F221" s="41"/>
      <c r="G221" s="41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1"/>
      <c r="X221" s="41"/>
      <c r="Y221" s="41"/>
      <c r="Z221" s="41"/>
    </row>
    <row r="222" ht="15.75" customHeight="1">
      <c r="A222" s="43"/>
      <c r="B222" s="41"/>
      <c r="C222" s="41"/>
      <c r="D222" s="41"/>
      <c r="E222" s="41"/>
      <c r="F222" s="41"/>
      <c r="G222" s="41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1"/>
      <c r="X222" s="41"/>
      <c r="Y222" s="41"/>
      <c r="Z222" s="41"/>
    </row>
    <row r="223" ht="15.75" customHeight="1">
      <c r="A223" s="43"/>
      <c r="B223" s="41"/>
      <c r="C223" s="41"/>
      <c r="D223" s="41"/>
      <c r="E223" s="41"/>
      <c r="F223" s="41"/>
      <c r="G223" s="41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1"/>
      <c r="X223" s="41"/>
      <c r="Y223" s="41"/>
      <c r="Z223" s="4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24">
    <mergeCell ref="D10:D12"/>
    <mergeCell ref="E10:E12"/>
    <mergeCell ref="H2:I2"/>
    <mergeCell ref="J2:K2"/>
    <mergeCell ref="L2:M2"/>
    <mergeCell ref="N2:N3"/>
    <mergeCell ref="A10:A12"/>
    <mergeCell ref="B10:B12"/>
    <mergeCell ref="C10:C12"/>
    <mergeCell ref="H10:L10"/>
    <mergeCell ref="H11:J11"/>
    <mergeCell ref="M11:O11"/>
    <mergeCell ref="P11:P12"/>
    <mergeCell ref="Q11:Q12"/>
    <mergeCell ref="R11:T11"/>
    <mergeCell ref="U11:U12"/>
    <mergeCell ref="F10:F12"/>
    <mergeCell ref="G10:G12"/>
    <mergeCell ref="M10:Q10"/>
    <mergeCell ref="R10:V10"/>
    <mergeCell ref="W10:W12"/>
    <mergeCell ref="K11:K12"/>
    <mergeCell ref="L11:L12"/>
    <mergeCell ref="V11:V12"/>
  </mergeCells>
  <dataValidations>
    <dataValidation type="list" allowBlank="1" showErrorMessage="1" sqref="H13:I23 M13:N23 R13:S23">
      <formula1>"Passed,Failed,Blocked,Not Run"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5.67"/>
    <col customWidth="1" min="3" max="3" width="20.78"/>
    <col customWidth="1" min="4" max="5" width="33.44"/>
    <col customWidth="1" min="6" max="25" width="10.56"/>
  </cols>
  <sheetData>
    <row r="1" ht="15.75" customHeight="1">
      <c r="A1" s="10"/>
      <c r="B1" s="10"/>
      <c r="C1" s="26"/>
      <c r="D1" s="26"/>
      <c r="E1" s="4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10"/>
      <c r="B2" s="11" t="s">
        <v>522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5"/>
      <c r="B3" s="55" t="s">
        <v>523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0"/>
      <c r="B4" s="10"/>
      <c r="C4" s="26"/>
      <c r="D4" s="26"/>
      <c r="E4" s="4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15"/>
      <c r="B5" s="13" t="s">
        <v>20</v>
      </c>
      <c r="C5" s="14" t="s">
        <v>524</v>
      </c>
      <c r="D5" s="14" t="s">
        <v>525</v>
      </c>
      <c r="E5" s="13" t="s">
        <v>27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15"/>
      <c r="B6" s="16">
        <v>1.0</v>
      </c>
      <c r="C6" s="37" t="s">
        <v>20</v>
      </c>
      <c r="D6" s="22">
        <v>1.0</v>
      </c>
      <c r="E6" s="39" t="s">
        <v>526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5"/>
      <c r="B7" s="16">
        <v>2.0</v>
      </c>
      <c r="C7" s="37" t="s">
        <v>527</v>
      </c>
      <c r="D7" s="51" t="s">
        <v>11</v>
      </c>
      <c r="E7" s="39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5"/>
      <c r="B8" s="16">
        <v>3.0</v>
      </c>
      <c r="C8" s="37" t="s">
        <v>528</v>
      </c>
      <c r="D8" s="51" t="s">
        <v>13</v>
      </c>
      <c r="E8" s="39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15"/>
      <c r="B9" s="16">
        <v>4.0</v>
      </c>
      <c r="C9" s="37" t="s">
        <v>529</v>
      </c>
      <c r="D9" s="51" t="s">
        <v>530</v>
      </c>
      <c r="E9" s="39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5"/>
      <c r="B10" s="16">
        <v>5.0</v>
      </c>
      <c r="C10" s="37" t="s">
        <v>531</v>
      </c>
      <c r="D10" s="22" t="s">
        <v>532</v>
      </c>
      <c r="E10" s="39" t="s">
        <v>533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5.5" customHeight="1">
      <c r="A11" s="15"/>
      <c r="B11" s="16">
        <v>6.0</v>
      </c>
      <c r="C11" s="37" t="s">
        <v>64</v>
      </c>
      <c r="D11" s="37" t="s">
        <v>534</v>
      </c>
      <c r="E11" s="9" t="s">
        <v>535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4.0" customHeight="1">
      <c r="A12" s="15"/>
      <c r="B12" s="16">
        <v>7.0</v>
      </c>
      <c r="C12" s="37" t="s">
        <v>65</v>
      </c>
      <c r="D12" s="37" t="s">
        <v>536</v>
      </c>
      <c r="E12" s="51" t="s">
        <v>537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8.5" customHeight="1">
      <c r="A13" s="15"/>
      <c r="B13" s="16">
        <v>8.0</v>
      </c>
      <c r="C13" s="37" t="s">
        <v>538</v>
      </c>
      <c r="D13" s="51" t="s">
        <v>9</v>
      </c>
      <c r="E13" s="9" t="s">
        <v>539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5.5" customHeight="1">
      <c r="A14" s="15"/>
      <c r="B14" s="16">
        <v>9.0</v>
      </c>
      <c r="C14" s="37" t="s">
        <v>43</v>
      </c>
      <c r="D14" s="51" t="s">
        <v>540</v>
      </c>
      <c r="E14" s="37" t="s">
        <v>541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6">
        <v>10.0</v>
      </c>
      <c r="C15" s="37" t="s">
        <v>542</v>
      </c>
      <c r="D15" s="51" t="s">
        <v>543</v>
      </c>
      <c r="E15" s="51" t="s">
        <v>544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32.25" customHeight="1">
      <c r="A16" s="15"/>
      <c r="B16" s="16">
        <v>11.0</v>
      </c>
      <c r="C16" s="37" t="s">
        <v>73</v>
      </c>
      <c r="D16" s="51" t="s">
        <v>179</v>
      </c>
      <c r="E16" s="37" t="s">
        <v>545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6">
        <v>12.0</v>
      </c>
      <c r="C17" s="37" t="s">
        <v>74</v>
      </c>
      <c r="D17" s="51" t="s">
        <v>546</v>
      </c>
      <c r="E17" s="37" t="s">
        <v>547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6">
        <v>13.0</v>
      </c>
      <c r="C18" s="37" t="s">
        <v>75</v>
      </c>
      <c r="D18" s="51" t="s">
        <v>548</v>
      </c>
      <c r="E18" s="37" t="s">
        <v>549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31.5" customHeight="1">
      <c r="A19" s="15"/>
      <c r="B19" s="16">
        <v>14.0</v>
      </c>
      <c r="C19" s="37" t="s">
        <v>76</v>
      </c>
      <c r="D19" s="51" t="s">
        <v>550</v>
      </c>
      <c r="E19" s="37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1.5" customHeight="1">
      <c r="A20" s="15"/>
      <c r="B20" s="16">
        <v>15.0</v>
      </c>
      <c r="C20" s="37" t="s">
        <v>77</v>
      </c>
      <c r="D20" s="37" t="s">
        <v>551</v>
      </c>
      <c r="E20" s="37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7.75" customHeight="1">
      <c r="A21" s="15"/>
      <c r="B21" s="16">
        <v>16.0</v>
      </c>
      <c r="C21" s="37" t="s">
        <v>78</v>
      </c>
      <c r="D21" s="51" t="s">
        <v>552</v>
      </c>
      <c r="E21" s="3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6">
        <v>17.0</v>
      </c>
      <c r="C22" s="37" t="s">
        <v>79</v>
      </c>
      <c r="D22" s="51" t="s">
        <v>50</v>
      </c>
      <c r="E22" s="37" t="s">
        <v>553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8.5" customHeight="1">
      <c r="A23" s="15"/>
      <c r="B23" s="16">
        <v>18.0</v>
      </c>
      <c r="C23" s="37" t="s">
        <v>80</v>
      </c>
      <c r="D23" s="51" t="s">
        <v>554</v>
      </c>
      <c r="E23" s="9" t="s">
        <v>539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9.25" customHeight="1">
      <c r="A24" s="15"/>
      <c r="B24" s="16">
        <v>19.0</v>
      </c>
      <c r="C24" s="37" t="s">
        <v>81</v>
      </c>
      <c r="D24" s="51" t="s">
        <v>555</v>
      </c>
      <c r="E24" s="39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6">
        <v>20.0</v>
      </c>
      <c r="C25" s="37" t="s">
        <v>27</v>
      </c>
      <c r="D25" s="51" t="s">
        <v>556</v>
      </c>
      <c r="E25" s="39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6">
        <v>21.0</v>
      </c>
      <c r="C26" s="51" t="s">
        <v>82</v>
      </c>
      <c r="D26" s="51" t="s">
        <v>557</v>
      </c>
      <c r="E26" s="39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56"/>
      <c r="C27" s="57"/>
      <c r="D27" s="57"/>
      <c r="E27" s="12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0"/>
      <c r="B28" s="10"/>
      <c r="C28" s="26"/>
      <c r="D28" s="26"/>
      <c r="E28" s="4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26"/>
      <c r="D29" s="26"/>
      <c r="E29" s="4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26"/>
      <c r="D30" s="26"/>
      <c r="E30" s="4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26"/>
      <c r="D31" s="26"/>
      <c r="E31" s="4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26"/>
      <c r="D32" s="26"/>
      <c r="E32" s="4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26"/>
      <c r="D33" s="26"/>
      <c r="E33" s="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26"/>
      <c r="D34" s="26"/>
      <c r="E34" s="4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26"/>
      <c r="D35" s="26"/>
      <c r="E35" s="4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26"/>
      <c r="D36" s="26"/>
      <c r="E36" s="4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26"/>
      <c r="D37" s="26"/>
      <c r="E37" s="4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26"/>
      <c r="D38" s="26"/>
      <c r="E38" s="4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26"/>
      <c r="D39" s="26"/>
      <c r="E39" s="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26"/>
      <c r="D40" s="26"/>
      <c r="E40" s="4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26"/>
      <c r="D41" s="26"/>
      <c r="E41" s="4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26"/>
      <c r="D42" s="26"/>
      <c r="E42" s="4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26"/>
      <c r="D43" s="26"/>
      <c r="E43" s="4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26"/>
      <c r="D44" s="26"/>
      <c r="E44" s="4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26"/>
      <c r="D45" s="26"/>
      <c r="E45" s="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26"/>
      <c r="D46" s="26"/>
      <c r="E46" s="4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26"/>
      <c r="D47" s="26"/>
      <c r="E47" s="4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26"/>
      <c r="D48" s="26"/>
      <c r="E48" s="4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26"/>
      <c r="D49" s="26"/>
      <c r="E49" s="4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26"/>
      <c r="D50" s="26"/>
      <c r="E50" s="4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26"/>
      <c r="D51" s="26"/>
      <c r="E51" s="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26"/>
      <c r="D52" s="26"/>
      <c r="E52" s="4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26"/>
      <c r="D53" s="26"/>
      <c r="E53" s="4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26"/>
      <c r="D54" s="26"/>
      <c r="E54" s="4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26"/>
      <c r="D55" s="26"/>
      <c r="E55" s="4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26"/>
      <c r="D56" s="26"/>
      <c r="E56" s="4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26"/>
      <c r="D57" s="26"/>
      <c r="E57" s="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26"/>
      <c r="D58" s="26"/>
      <c r="E58" s="4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26"/>
      <c r="D59" s="26"/>
      <c r="E59" s="4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26"/>
      <c r="D60" s="26"/>
      <c r="E60" s="4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26"/>
      <c r="D61" s="26"/>
      <c r="E61" s="4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26"/>
      <c r="D62" s="26"/>
      <c r="E62" s="4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26"/>
      <c r="D63" s="26"/>
      <c r="E63" s="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26"/>
      <c r="D64" s="26"/>
      <c r="E64" s="4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26"/>
      <c r="D65" s="26"/>
      <c r="E65" s="4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26"/>
      <c r="D66" s="26"/>
      <c r="E66" s="4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26"/>
      <c r="D67" s="26"/>
      <c r="E67" s="4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26"/>
      <c r="D68" s="26"/>
      <c r="E68" s="4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26"/>
      <c r="D69" s="26"/>
      <c r="E69" s="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26"/>
      <c r="D70" s="26"/>
      <c r="E70" s="4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26"/>
      <c r="D71" s="26"/>
      <c r="E71" s="4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26"/>
      <c r="D72" s="26"/>
      <c r="E72" s="4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26"/>
      <c r="D73" s="26"/>
      <c r="E73" s="4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26"/>
      <c r="D74" s="26"/>
      <c r="E74" s="4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26"/>
      <c r="D75" s="26"/>
      <c r="E75" s="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26"/>
      <c r="D76" s="26"/>
      <c r="E76" s="4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26"/>
      <c r="D77" s="26"/>
      <c r="E77" s="4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26"/>
      <c r="D78" s="26"/>
      <c r="E78" s="4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26"/>
      <c r="D79" s="26"/>
      <c r="E79" s="4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26"/>
      <c r="D80" s="26"/>
      <c r="E80" s="4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26"/>
      <c r="D81" s="26"/>
      <c r="E81" s="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26"/>
      <c r="D82" s="26"/>
      <c r="E82" s="4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26"/>
      <c r="D83" s="26"/>
      <c r="E83" s="4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26"/>
      <c r="D84" s="26"/>
      <c r="E84" s="4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26"/>
      <c r="D85" s="26"/>
      <c r="E85" s="4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26"/>
      <c r="D86" s="26"/>
      <c r="E86" s="4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26"/>
      <c r="D87" s="26"/>
      <c r="E87" s="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26"/>
      <c r="D88" s="26"/>
      <c r="E88" s="4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26"/>
      <c r="D89" s="26"/>
      <c r="E89" s="4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26"/>
      <c r="D90" s="26"/>
      <c r="E90" s="4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26"/>
      <c r="D91" s="26"/>
      <c r="E91" s="4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26"/>
      <c r="D92" s="26"/>
      <c r="E92" s="4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26"/>
      <c r="D93" s="26"/>
      <c r="E93" s="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26"/>
      <c r="D94" s="26"/>
      <c r="E94" s="4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26"/>
      <c r="D95" s="26"/>
      <c r="E95" s="4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26"/>
      <c r="D96" s="26"/>
      <c r="E96" s="4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26"/>
      <c r="D97" s="26"/>
      <c r="E97" s="4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26"/>
      <c r="D98" s="26"/>
      <c r="E98" s="4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26"/>
      <c r="D99" s="26"/>
      <c r="E99" s="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26"/>
      <c r="D100" s="26"/>
      <c r="E100" s="4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26"/>
      <c r="D101" s="26"/>
      <c r="E101" s="4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26"/>
      <c r="D102" s="26"/>
      <c r="E102" s="4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26"/>
      <c r="D103" s="26"/>
      <c r="E103" s="4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26"/>
      <c r="D104" s="26"/>
      <c r="E104" s="4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26"/>
      <c r="D105" s="26"/>
      <c r="E105" s="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26"/>
      <c r="D106" s="26"/>
      <c r="E106" s="4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26"/>
      <c r="D107" s="26"/>
      <c r="E107" s="4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26"/>
      <c r="D108" s="26"/>
      <c r="E108" s="4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26"/>
      <c r="D109" s="26"/>
      <c r="E109" s="4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26"/>
      <c r="D110" s="26"/>
      <c r="E110" s="4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26"/>
      <c r="D111" s="26"/>
      <c r="E111" s="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26"/>
      <c r="D112" s="26"/>
      <c r="E112" s="4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26"/>
      <c r="D113" s="26"/>
      <c r="E113" s="4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26"/>
      <c r="D114" s="26"/>
      <c r="E114" s="4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26"/>
      <c r="D115" s="26"/>
      <c r="E115" s="4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26"/>
      <c r="D116" s="26"/>
      <c r="E116" s="4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26"/>
      <c r="D117" s="26"/>
      <c r="E117" s="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26"/>
      <c r="D118" s="26"/>
      <c r="E118" s="4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26"/>
      <c r="D119" s="26"/>
      <c r="E119" s="4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26"/>
      <c r="D120" s="26"/>
      <c r="E120" s="4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26"/>
      <c r="D121" s="26"/>
      <c r="E121" s="4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26"/>
      <c r="D122" s="26"/>
      <c r="E122" s="4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26"/>
      <c r="D123" s="26"/>
      <c r="E123" s="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26"/>
      <c r="D124" s="26"/>
      <c r="E124" s="4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26"/>
      <c r="D125" s="26"/>
      <c r="E125" s="4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26"/>
      <c r="D126" s="26"/>
      <c r="E126" s="4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26"/>
      <c r="D127" s="26"/>
      <c r="E127" s="4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26"/>
      <c r="D128" s="26"/>
      <c r="E128" s="4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26"/>
      <c r="D129" s="26"/>
      <c r="E129" s="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26"/>
      <c r="D130" s="26"/>
      <c r="E130" s="4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26"/>
      <c r="D131" s="26"/>
      <c r="E131" s="4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26"/>
      <c r="D132" s="26"/>
      <c r="E132" s="4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26"/>
      <c r="D133" s="26"/>
      <c r="E133" s="4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26"/>
      <c r="D134" s="26"/>
      <c r="E134" s="4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26"/>
      <c r="D135" s="26"/>
      <c r="E135" s="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26"/>
      <c r="D136" s="26"/>
      <c r="E136" s="4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26"/>
      <c r="D137" s="26"/>
      <c r="E137" s="4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26"/>
      <c r="D138" s="26"/>
      <c r="E138" s="4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26"/>
      <c r="D139" s="26"/>
      <c r="E139" s="4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26"/>
      <c r="D140" s="26"/>
      <c r="E140" s="4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26"/>
      <c r="D141" s="26"/>
      <c r="E141" s="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26"/>
      <c r="D142" s="26"/>
      <c r="E142" s="4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26"/>
      <c r="D143" s="26"/>
      <c r="E143" s="4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26"/>
      <c r="D144" s="26"/>
      <c r="E144" s="4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26"/>
      <c r="D145" s="26"/>
      <c r="E145" s="4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26"/>
      <c r="D146" s="26"/>
      <c r="E146" s="4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26"/>
      <c r="D147" s="26"/>
      <c r="E147" s="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26"/>
      <c r="D148" s="26"/>
      <c r="E148" s="4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26"/>
      <c r="D149" s="26"/>
      <c r="E149" s="4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26"/>
      <c r="D150" s="26"/>
      <c r="E150" s="4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26"/>
      <c r="D151" s="26"/>
      <c r="E151" s="4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26"/>
      <c r="D152" s="26"/>
      <c r="E152" s="4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26"/>
      <c r="D153" s="26"/>
      <c r="E153" s="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26"/>
      <c r="D154" s="26"/>
      <c r="E154" s="4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26"/>
      <c r="D155" s="26"/>
      <c r="E155" s="4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26"/>
      <c r="D156" s="26"/>
      <c r="E156" s="4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26"/>
      <c r="D157" s="26"/>
      <c r="E157" s="4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26"/>
      <c r="D158" s="26"/>
      <c r="E158" s="4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26"/>
      <c r="D159" s="26"/>
      <c r="E159" s="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26"/>
      <c r="D160" s="26"/>
      <c r="E160" s="4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26"/>
      <c r="D161" s="26"/>
      <c r="E161" s="4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26"/>
      <c r="D162" s="26"/>
      <c r="E162" s="4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26"/>
      <c r="D163" s="26"/>
      <c r="E163" s="4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26"/>
      <c r="D164" s="26"/>
      <c r="E164" s="4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26"/>
      <c r="D165" s="26"/>
      <c r="E165" s="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26"/>
      <c r="D166" s="26"/>
      <c r="E166" s="4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26"/>
      <c r="D167" s="26"/>
      <c r="E167" s="4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26"/>
      <c r="D168" s="26"/>
      <c r="E168" s="4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26"/>
      <c r="D169" s="26"/>
      <c r="E169" s="4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26"/>
      <c r="D170" s="26"/>
      <c r="E170" s="4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26"/>
      <c r="D171" s="26"/>
      <c r="E171" s="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26"/>
      <c r="D172" s="26"/>
      <c r="E172" s="4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26"/>
      <c r="D173" s="26"/>
      <c r="E173" s="4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26"/>
      <c r="D174" s="26"/>
      <c r="E174" s="4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26"/>
      <c r="D175" s="26"/>
      <c r="E175" s="4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26"/>
      <c r="D176" s="26"/>
      <c r="E176" s="4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26"/>
      <c r="D177" s="26"/>
      <c r="E177" s="4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26"/>
      <c r="D178" s="26"/>
      <c r="E178" s="4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26"/>
      <c r="D179" s="26"/>
      <c r="E179" s="4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26"/>
      <c r="D180" s="26"/>
      <c r="E180" s="4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26"/>
      <c r="D181" s="26"/>
      <c r="E181" s="4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26"/>
      <c r="D182" s="26"/>
      <c r="E182" s="4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26"/>
      <c r="D183" s="26"/>
      <c r="E183" s="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26"/>
      <c r="D184" s="26"/>
      <c r="E184" s="4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26"/>
      <c r="D185" s="26"/>
      <c r="E185" s="4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26"/>
      <c r="D186" s="26"/>
      <c r="E186" s="4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26"/>
      <c r="D187" s="26"/>
      <c r="E187" s="4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26"/>
      <c r="D188" s="26"/>
      <c r="E188" s="4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26"/>
      <c r="D189" s="26"/>
      <c r="E189" s="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26"/>
      <c r="D190" s="26"/>
      <c r="E190" s="4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26"/>
      <c r="D191" s="26"/>
      <c r="E191" s="4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26"/>
      <c r="D192" s="26"/>
      <c r="E192" s="4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26"/>
      <c r="D193" s="26"/>
      <c r="E193" s="4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26"/>
      <c r="D194" s="26"/>
      <c r="E194" s="4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26"/>
      <c r="D195" s="26"/>
      <c r="E195" s="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26"/>
      <c r="D196" s="26"/>
      <c r="E196" s="4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26"/>
      <c r="D197" s="26"/>
      <c r="E197" s="4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26"/>
      <c r="D198" s="26"/>
      <c r="E198" s="4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26"/>
      <c r="D199" s="26"/>
      <c r="E199" s="4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26"/>
      <c r="D200" s="26"/>
      <c r="E200" s="4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26"/>
      <c r="D201" s="26"/>
      <c r="E201" s="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26"/>
      <c r="D202" s="26"/>
      <c r="E202" s="4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26"/>
      <c r="D203" s="26"/>
      <c r="E203" s="4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26"/>
      <c r="D204" s="26"/>
      <c r="E204" s="4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26"/>
      <c r="D205" s="26"/>
      <c r="E205" s="4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26"/>
      <c r="D206" s="26"/>
      <c r="E206" s="4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26"/>
      <c r="D207" s="26"/>
      <c r="E207" s="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26"/>
      <c r="D208" s="26"/>
      <c r="E208" s="4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26"/>
      <c r="D209" s="26"/>
      <c r="E209" s="4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26"/>
      <c r="D210" s="26"/>
      <c r="E210" s="4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26"/>
      <c r="D211" s="26"/>
      <c r="E211" s="4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26"/>
      <c r="D212" s="26"/>
      <c r="E212" s="4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26"/>
      <c r="D213" s="26"/>
      <c r="E213" s="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26"/>
      <c r="D214" s="26"/>
      <c r="E214" s="4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26"/>
      <c r="D215" s="26"/>
      <c r="E215" s="4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26"/>
      <c r="D216" s="26"/>
      <c r="E216" s="4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26"/>
      <c r="D217" s="26"/>
      <c r="E217" s="4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26"/>
      <c r="D218" s="26"/>
      <c r="E218" s="4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26"/>
      <c r="D219" s="26"/>
      <c r="E219" s="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26"/>
      <c r="D220" s="26"/>
      <c r="E220" s="4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26"/>
      <c r="D221" s="26"/>
      <c r="E221" s="4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26"/>
      <c r="D222" s="26"/>
      <c r="E222" s="4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26"/>
      <c r="D223" s="26"/>
      <c r="E223" s="4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26"/>
      <c r="D224" s="26"/>
      <c r="E224" s="4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26"/>
      <c r="D225" s="26"/>
      <c r="E225" s="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26"/>
      <c r="D226" s="26"/>
      <c r="E226" s="4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26"/>
      <c r="D227" s="26"/>
      <c r="E227" s="4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2">
    <mergeCell ref="B2:E2"/>
    <mergeCell ref="B3:E3"/>
  </mergeCells>
  <drawing r:id="rId1"/>
</worksheet>
</file>